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ndrewluo/Documents/xlsx-testing/"/>
    </mc:Choice>
  </mc:AlternateContent>
  <xr:revisionPtr revIDLastSave="0" documentId="8_{3681AACA-612E-9C43-9D80-18BE8035C1A6}" xr6:coauthVersionLast="47" xr6:coauthVersionMax="47" xr10:uidLastSave="{00000000-0000-0000-0000-000000000000}"/>
  <bookViews>
    <workbookView xWindow="0" yWindow="760" windowWidth="34560" windowHeight="20360" xr2:uid="{00000000-000D-0000-FFFF-FFFF00000000}"/>
  </bookViews>
  <sheets>
    <sheet name="README" sheetId="1" r:id="rId1"/>
    <sheet name="Bar + Column" sheetId="2" r:id="rId2"/>
    <sheet name="Line + Area" sheetId="3" r:id="rId3"/>
    <sheet name="Pie Zoo" sheetId="4" r:id="rId4"/>
    <sheet name="XY Chaos" sheetId="5" r:id="rId5"/>
    <sheet name="Radar + Surface" sheetId="6" r:id="rId6"/>
    <sheet name="Stock + Combo" sheetId="7" r:id="rId7"/>
    <sheet name="Format Lab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8" l="1"/>
  <c r="P18" i="8"/>
  <c r="O18" i="8"/>
  <c r="N18" i="8"/>
  <c r="M18" i="8"/>
  <c r="L18" i="8"/>
  <c r="K18" i="8"/>
  <c r="J18" i="8"/>
  <c r="I18" i="8"/>
  <c r="H18" i="8"/>
  <c r="G18" i="8"/>
  <c r="F18" i="8"/>
  <c r="Q17" i="8"/>
  <c r="P17" i="8"/>
  <c r="O17" i="8"/>
  <c r="N17" i="8"/>
  <c r="M17" i="8"/>
  <c r="L17" i="8"/>
  <c r="K17" i="8"/>
  <c r="J17" i="8"/>
  <c r="I17" i="8"/>
  <c r="H17" i="8"/>
  <c r="G17" i="8"/>
  <c r="F17" i="8"/>
  <c r="Q16" i="8"/>
  <c r="P16" i="8"/>
  <c r="O16" i="8"/>
  <c r="N16" i="8"/>
  <c r="M16" i="8"/>
  <c r="L16" i="8"/>
  <c r="K16" i="8"/>
  <c r="J16" i="8"/>
  <c r="I16" i="8"/>
  <c r="H16" i="8"/>
  <c r="G16" i="8"/>
  <c r="F16" i="8"/>
  <c r="Q15" i="8"/>
  <c r="P15" i="8"/>
  <c r="O15" i="8"/>
  <c r="N15" i="8"/>
  <c r="M15" i="8"/>
  <c r="L15" i="8"/>
  <c r="K15" i="8"/>
  <c r="J15" i="8"/>
  <c r="I15" i="8"/>
  <c r="H15" i="8"/>
  <c r="G15" i="8"/>
  <c r="F15" i="8"/>
  <c r="Q14" i="8"/>
  <c r="P14" i="8"/>
  <c r="O14" i="8"/>
  <c r="N14" i="8"/>
  <c r="M14" i="8"/>
  <c r="L14" i="8"/>
  <c r="K14" i="8"/>
  <c r="J14" i="8"/>
  <c r="I14" i="8"/>
  <c r="H14" i="8"/>
  <c r="G14" i="8"/>
  <c r="F14" i="8"/>
  <c r="Q13" i="8"/>
  <c r="P13" i="8"/>
  <c r="O13" i="8"/>
  <c r="N13" i="8"/>
  <c r="M13" i="8"/>
  <c r="L13" i="8"/>
  <c r="K13" i="8"/>
  <c r="J13" i="8"/>
  <c r="I13" i="8"/>
  <c r="H13" i="8"/>
  <c r="G13" i="8"/>
  <c r="F13" i="8"/>
  <c r="Q12" i="8"/>
  <c r="P12" i="8"/>
  <c r="O12" i="8"/>
  <c r="N12" i="8"/>
  <c r="M12" i="8"/>
  <c r="L12" i="8"/>
  <c r="K12" i="8"/>
  <c r="J12" i="8"/>
  <c r="I12" i="8"/>
  <c r="H12" i="8"/>
  <c r="G12" i="8"/>
  <c r="F12" i="8"/>
  <c r="Q11" i="8"/>
  <c r="P11" i="8"/>
  <c r="O11" i="8"/>
  <c r="N11" i="8"/>
  <c r="M11" i="8"/>
  <c r="L11" i="8"/>
  <c r="K11" i="8"/>
  <c r="J11" i="8"/>
  <c r="I11" i="8"/>
  <c r="H11" i="8"/>
  <c r="G11" i="8"/>
  <c r="F11" i="8"/>
  <c r="Q10" i="8"/>
  <c r="P10" i="8"/>
  <c r="O10" i="8"/>
  <c r="N10" i="8"/>
  <c r="M10" i="8"/>
  <c r="L10" i="8"/>
  <c r="K10" i="8"/>
  <c r="J10" i="8"/>
  <c r="I10" i="8"/>
  <c r="H10" i="8"/>
  <c r="G10" i="8"/>
  <c r="F10" i="8"/>
  <c r="Q9" i="8"/>
  <c r="P9" i="8"/>
  <c r="O9" i="8"/>
  <c r="N9" i="8"/>
  <c r="M9" i="8"/>
  <c r="L9" i="8"/>
  <c r="K9" i="8"/>
  <c r="J9" i="8"/>
  <c r="I9" i="8"/>
  <c r="H9" i="8"/>
  <c r="G9" i="8"/>
  <c r="F9" i="8"/>
  <c r="Q8" i="8"/>
  <c r="P8" i="8"/>
  <c r="O8" i="8"/>
  <c r="N8" i="8"/>
  <c r="M8" i="8"/>
  <c r="L8" i="8"/>
  <c r="K8" i="8"/>
  <c r="J8" i="8"/>
  <c r="I8" i="8"/>
  <c r="H8" i="8"/>
  <c r="G8" i="8"/>
  <c r="F8" i="8"/>
  <c r="Q7" i="8"/>
  <c r="P7" i="8"/>
  <c r="O7" i="8"/>
  <c r="N7" i="8"/>
  <c r="M7" i="8"/>
  <c r="L7" i="8"/>
  <c r="K7" i="8"/>
  <c r="J7" i="8"/>
  <c r="I7" i="8"/>
  <c r="H7" i="8"/>
  <c r="G7" i="8"/>
  <c r="F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This workbook is designed for viewer and parser testing, not business sanity.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H24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Comments, formatting, and frozen panes are all intentional test cases.</t>
        </r>
      </text>
    </comment>
  </commentList>
</comments>
</file>

<file path=xl/sharedStrings.xml><?xml version="1.0" encoding="utf-8"?>
<sst xmlns="http://schemas.openxmlformats.org/spreadsheetml/2006/main" count="126" uniqueCount="107">
  <si>
    <t>Excel Chart Apocalypse</t>
  </si>
  <si>
    <t>A renderer torture test with loud styling and chart edge cases.</t>
  </si>
  <si>
    <t>Sheet</t>
  </si>
  <si>
    <t>What it stresses</t>
  </si>
  <si>
    <t>Chaos Metrics</t>
  </si>
  <si>
    <t>Bar + Column</t>
  </si>
  <si>
    <t>2D/3D bar and column variants, hidden rows, percent stacked, negative values</t>
  </si>
  <si>
    <t>Chart families</t>
  </si>
  <si>
    <t>Line + Area</t>
  </si>
  <si>
    <t>Date axes, gaps, trendlines, markers, stacked areas, 3D rotations</t>
  </si>
  <si>
    <t>Sheets</t>
  </si>
  <si>
    <t>Pie Zoo</t>
  </si>
  <si>
    <t>Pie, 3D pie, doughnut, projected pie/bar splits, exploded slices</t>
  </si>
  <si>
    <t>Intentional weirdness</t>
  </si>
  <si>
    <t>XY Chaos</t>
  </si>
  <si>
    <t>Scatter line/marker blends, log axis, bubble sizing, mixed scales</t>
  </si>
  <si>
    <t>Workbook target</t>
  </si>
  <si>
    <t>crazy-chart-zoo.xlsx</t>
  </si>
  <si>
    <t>Radar + Surface</t>
  </si>
  <si>
    <t>Filled radar, wireframe surface, 3D surface gradients, matrix data</t>
  </si>
  <si>
    <t>Stock + Combo</t>
  </si>
  <si>
    <t>High/low/close stock chart, combo chart, secondary axis</t>
  </si>
  <si>
    <t>Format Lab</t>
  </si>
  <si>
    <t>Conditional formats, merged cells, formulas, comments, hidden rows/cols</t>
  </si>
  <si>
    <t>Notes</t>
  </si>
  <si>
    <t>Some charts include blanks, hidden rows, negatives, and oversized fills on purpose.</t>
  </si>
  <si>
    <t>LibreOffice render sanity-checks this workbook after generation.</t>
  </si>
  <si>
    <t>If Excel repairs anything, that is a bug worth investigating.</t>
  </si>
  <si>
    <t>Bar + Column Madness</t>
  </si>
  <si>
    <t>Hidden rows, percent stacks, negatives, zeros, and too many colors.</t>
  </si>
  <si>
    <t>Category</t>
  </si>
  <si>
    <t>Neon</t>
  </si>
  <si>
    <t>Void</t>
  </si>
  <si>
    <t>Glitch</t>
  </si>
  <si>
    <t>Flux</t>
  </si>
  <si>
    <t>Hidden row 10 is intentional.</t>
  </si>
  <si>
    <t>Alpha</t>
  </si>
  <si>
    <t>Beta</t>
  </si>
  <si>
    <t>Gamma</t>
  </si>
  <si>
    <t>Delta</t>
  </si>
  <si>
    <t>Epsilon</t>
  </si>
  <si>
    <t>Zeta</t>
  </si>
  <si>
    <t>Line + Area Drift</t>
  </si>
  <si>
    <t>Date axes, blanks, stacked fills, markers, trendlines, and 3D perspective.</t>
  </si>
  <si>
    <t>Date</t>
  </si>
  <si>
    <t>Pulse</t>
  </si>
  <si>
    <t>Decay</t>
  </si>
  <si>
    <t>Noise</t>
  </si>
  <si>
    <t>Cumulative</t>
  </si>
  <si>
    <t>Exploded slices, donut holes, and projected leftovers.</t>
  </si>
  <si>
    <t>Segment</t>
  </si>
  <si>
    <t>Value</t>
  </si>
  <si>
    <t>Comets</t>
  </si>
  <si>
    <t>Lasers</t>
  </si>
  <si>
    <t>Ghosts</t>
  </si>
  <si>
    <t>Velvet</t>
  </si>
  <si>
    <t>Static</t>
  </si>
  <si>
    <t>Scatter variants, log axis pressure, and giant bubbles.</t>
  </si>
  <si>
    <t>X</t>
  </si>
  <si>
    <t>Orbit</t>
  </si>
  <si>
    <t>Chaos</t>
  </si>
  <si>
    <t>Bubble Size</t>
  </si>
  <si>
    <t>Polar charts and matrix-driven terrain plots.</t>
  </si>
  <si>
    <t>Metric</t>
  </si>
  <si>
    <t>Speed</t>
  </si>
  <si>
    <t>Taste</t>
  </si>
  <si>
    <t>Cost</t>
  </si>
  <si>
    <t>Shine</t>
  </si>
  <si>
    <t>Band</t>
  </si>
  <si>
    <t>Q1</t>
  </si>
  <si>
    <t>Q2</t>
  </si>
  <si>
    <t>Q3</t>
  </si>
  <si>
    <t>Q4</t>
  </si>
  <si>
    <t>Q5</t>
  </si>
  <si>
    <t>Q6</t>
  </si>
  <si>
    <t>North</t>
  </si>
  <si>
    <t>South</t>
  </si>
  <si>
    <t>East</t>
  </si>
  <si>
    <t>West</t>
  </si>
  <si>
    <t>Core</t>
  </si>
  <si>
    <t>Edge</t>
  </si>
  <si>
    <t>High/low/close and a mismatched secondary-axis mashup.</t>
  </si>
  <si>
    <t>High</t>
  </si>
  <si>
    <t>Low</t>
  </si>
  <si>
    <t>Close</t>
  </si>
  <si>
    <t>Sales</t>
  </si>
  <si>
    <t>Margin %</t>
  </si>
  <si>
    <t>Not a chart sheet: this is here to pressure-test styling and layout.</t>
  </si>
  <si>
    <t>MERGED / ROTATED / LOUD</t>
  </si>
  <si>
    <t>Heatmap</t>
  </si>
  <si>
    <t>Score</t>
  </si>
  <si>
    <t>Status</t>
  </si>
  <si>
    <t>Flags</t>
  </si>
  <si>
    <t>CHECK</t>
  </si>
  <si>
    <t>OK</t>
  </si>
  <si>
    <t>Column B is hidden.</t>
  </si>
  <si>
    <t>Hover me</t>
  </si>
  <si>
    <t>Row 27 is hidden.</t>
  </si>
  <si>
    <t>Cell H24 has a comment.</t>
  </si>
  <si>
    <t>Angle 1</t>
  </si>
  <si>
    <t>Angle 2</t>
  </si>
  <si>
    <t>Angle 3</t>
  </si>
  <si>
    <t>Angle 4</t>
  </si>
  <si>
    <t>Angle 5</t>
  </si>
  <si>
    <t>Angle 6</t>
  </si>
  <si>
    <t>Angle 7</t>
  </si>
  <si>
    <t>Angle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</si>
</sst>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m\ d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22"/>
      <color rgb="FFFFFFFF"/>
      <name val="Aptos Display"/>
    </font>
    <font>
      <i/>
      <sz val="11"/>
      <color rgb="FF444444"/>
      <name val="Aptos"/>
    </font>
    <font>
      <b/>
      <sz val="11"/>
      <color rgb="FFFFFFFF"/>
      <name val="Calibri"/>
      <family val="2"/>
    </font>
    <font>
      <b/>
      <sz val="11"/>
      <color rgb="FF111111"/>
      <name val="Calibri"/>
      <family val="2"/>
    </font>
    <font>
      <b/>
      <sz val="18"/>
      <color rgb="FFFFFFFF"/>
      <name val="Calibri"/>
      <family val="2"/>
    </font>
  </fonts>
  <fills count="25">
    <fill>
      <patternFill patternType="none"/>
    </fill>
    <fill>
      <patternFill patternType="gray125"/>
    </fill>
    <fill>
      <gradientFill>
        <stop position="0">
          <color rgb="FF10002B"/>
        </stop>
        <stop position="0.5">
          <color rgb="FF240046"/>
        </stop>
        <stop position="1">
          <color rgb="FF111111"/>
        </stop>
      </gradientFill>
    </fill>
    <fill>
      <patternFill patternType="solid">
        <fgColor rgb="FF1D3557"/>
      </patternFill>
    </fill>
    <fill>
      <patternFill patternType="solid">
        <fgColor rgb="FFEDF2F4"/>
      </patternFill>
    </fill>
    <fill>
      <patternFill patternType="solid">
        <fgColor rgb="FFF8F9FA"/>
      </patternFill>
    </fill>
    <fill>
      <patternFill patternType="solid">
        <fgColor rgb="FF7209B7"/>
      </patternFill>
    </fill>
    <fill>
      <patternFill patternType="solid">
        <fgColor rgb="FFF1E3FF"/>
      </patternFill>
    </fill>
    <fill>
      <gradientFill>
        <stop position="0">
          <color rgb="FF10002B"/>
        </stop>
        <stop position="0.5">
          <color rgb="FFF72585"/>
        </stop>
        <stop position="1">
          <color rgb="FF111111"/>
        </stop>
      </gradientFill>
    </fill>
    <fill>
      <patternFill patternType="solid">
        <fgColor rgb="FFFFF3BF"/>
      </patternFill>
    </fill>
    <fill>
      <gradientFill>
        <stop position="0">
          <color rgb="FF10002B"/>
        </stop>
        <stop position="0.5">
          <color rgb="FF4361EE"/>
        </stop>
        <stop position="1">
          <color rgb="FF111111"/>
        </stop>
      </gradientFill>
    </fill>
    <fill>
      <gradientFill>
        <stop position="0">
          <color rgb="FF10002B"/>
        </stop>
        <stop position="0.5">
          <color rgb="FFFF8500"/>
        </stop>
        <stop position="1">
          <color rgb="FF111111"/>
        </stop>
      </gradientFill>
    </fill>
    <fill>
      <gradientFill>
        <stop position="0">
          <color rgb="FF10002B"/>
        </stop>
        <stop position="0.5">
          <color rgb="FF06D6A0"/>
        </stop>
        <stop position="1">
          <color rgb="FF111111"/>
        </stop>
      </gradientFill>
    </fill>
    <fill>
      <gradientFill>
        <stop position="0">
          <color rgb="FF10002B"/>
        </stop>
        <stop position="0.5">
          <color rgb="FF8338EC"/>
        </stop>
        <stop position="1">
          <color rgb="FF111111"/>
        </stop>
      </gradientFill>
    </fill>
    <fill>
      <gradientFill>
        <stop position="0">
          <color rgb="FF10002B"/>
        </stop>
        <stop position="0.5">
          <color rgb="FF2A9D8F"/>
        </stop>
        <stop position="1">
          <color rgb="FF111111"/>
        </stop>
      </gradientFill>
    </fill>
    <fill>
      <gradientFill>
        <stop position="0">
          <color rgb="FF10002B"/>
        </stop>
        <stop position="0.5">
          <color rgb="FF6D597A"/>
        </stop>
        <stop position="1">
          <color rgb="FF111111"/>
        </stop>
      </gradientFill>
    </fill>
    <fill>
      <gradientFill>
        <stop position="0">
          <color rgb="FF6A00F4"/>
        </stop>
        <stop position="0.5">
          <color rgb="FFFF006E"/>
        </stop>
        <stop position="1">
          <color rgb="FFFFBE0B"/>
        </stop>
      </gradientFill>
    </fill>
    <fill>
      <patternFill patternType="solid">
        <fgColor rgb="FFFF006E"/>
      </patternFill>
    </fill>
    <fill>
      <patternFill patternType="solid">
        <fgColor rgb="FFFB5607"/>
      </patternFill>
    </fill>
    <fill>
      <patternFill patternType="solid">
        <fgColor rgb="FFFFBE0B"/>
      </patternFill>
    </fill>
    <fill>
      <patternFill patternType="solid">
        <fgColor rgb="FF00F5D4"/>
      </patternFill>
    </fill>
    <fill>
      <patternFill patternType="solid">
        <fgColor rgb="FF00BBF9"/>
      </patternFill>
    </fill>
    <fill>
      <patternFill patternType="solid">
        <fgColor rgb="FF8338EC"/>
      </patternFill>
    </fill>
    <fill>
      <patternFill patternType="solid">
        <fgColor rgb="FF3A86FF"/>
      </patternFill>
    </fill>
    <fill>
      <patternFill patternType="solid">
        <fgColor rgb="FFB5179E"/>
      </patternFill>
    </fill>
  </fills>
  <borders count="2">
    <border>
      <left/>
      <right/>
      <top/>
      <bottom/>
      <diagonal/>
    </border>
    <border>
      <left/>
      <right/>
      <top/>
      <bottom style="thin">
        <color rgb="FF2B2D4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0" fillId="4" borderId="1" xfId="0" applyFill="1" applyBorder="1"/>
    <xf numFmtId="0" fontId="4" fillId="7" borderId="0" xfId="0" applyFont="1" applyFill="1"/>
    <xf numFmtId="0" fontId="0" fillId="5" borderId="1" xfId="0" applyFill="1" applyBorder="1"/>
    <xf numFmtId="0" fontId="0" fillId="9" borderId="0" xfId="0" applyFill="1"/>
    <xf numFmtId="165" fontId="0" fillId="4" borderId="1" xfId="0" applyNumberFormat="1" applyFill="1" applyBorder="1"/>
    <xf numFmtId="165" fontId="0" fillId="5" borderId="1" xfId="0" applyNumberFormat="1" applyFill="1" applyBorder="1"/>
    <xf numFmtId="166" fontId="0" fillId="4" borderId="1" xfId="0" applyNumberFormat="1" applyFill="1" applyBorder="1"/>
    <xf numFmtId="166" fontId="0" fillId="5" borderId="1" xfId="0" applyNumberFormat="1" applyFill="1" applyBorder="1"/>
    <xf numFmtId="0" fontId="3" fillId="17" borderId="0" xfId="0" applyFont="1" applyFill="1" applyAlignment="1">
      <alignment horizontal="center" textRotation="45"/>
    </xf>
    <xf numFmtId="0" fontId="3" fillId="18" borderId="0" xfId="0" applyFont="1" applyFill="1" applyAlignment="1">
      <alignment horizontal="center" textRotation="45"/>
    </xf>
    <xf numFmtId="0" fontId="3" fillId="19" borderId="0" xfId="0" applyFont="1" applyFill="1" applyAlignment="1">
      <alignment horizontal="center" textRotation="45"/>
    </xf>
    <xf numFmtId="0" fontId="3" fillId="20" borderId="0" xfId="0" applyFont="1" applyFill="1" applyAlignment="1">
      <alignment horizontal="center" textRotation="45"/>
    </xf>
    <xf numFmtId="0" fontId="3" fillId="21" borderId="0" xfId="0" applyFont="1" applyFill="1" applyAlignment="1">
      <alignment horizontal="center" textRotation="45"/>
    </xf>
    <xf numFmtId="0" fontId="3" fillId="22" borderId="0" xfId="0" applyFont="1" applyFill="1" applyAlignment="1">
      <alignment horizontal="center" textRotation="45"/>
    </xf>
    <xf numFmtId="0" fontId="3" fillId="23" borderId="0" xfId="0" applyFont="1" applyFill="1" applyAlignment="1">
      <alignment horizontal="center" textRotation="45"/>
    </xf>
    <xf numFmtId="0" fontId="3" fillId="24" borderId="0" xfId="0" applyFont="1" applyFill="1" applyAlignment="1">
      <alignment horizontal="center" textRotation="45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8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CCD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Clustered Column with Hidden Row Still Plotted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'Bar + Column'!$B$6</c:f>
              <c:strCache>
                <c:ptCount val="1"/>
                <c:pt idx="0">
                  <c:v>Neon</c:v>
                </c:pt>
              </c:strCache>
            </c:strRef>
          </c:tx>
          <c:spPr>
            <a:solidFill>
              <a:srgbClr val="FF006E"/>
            </a:solidFill>
            <a:ln>
              <a:solidFill>
                <a:srgbClr val="FF006E"/>
              </a:solidFill>
              <a:prstDash val="solid"/>
            </a:ln>
          </c:spPr>
          <c:invertIfNegative val="1"/>
          <c:cat>
            <c:strRef>
              <c:f>'Bar + Column'!$A$7:$A$12</c:f>
              <c:strCache>
                <c:ptCount val="6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Delta</c:v>
                </c:pt>
                <c:pt idx="4">
                  <c:v>Epsilon</c:v>
                </c:pt>
                <c:pt idx="5">
                  <c:v>Zeta</c:v>
                </c:pt>
              </c:strCache>
            </c:strRef>
          </c:cat>
          <c:val>
            <c:numRef>
              <c:f>'Bar + Column'!$B$7:$B$12</c:f>
              <c:numCache>
                <c:formatCode>General</c:formatCode>
                <c:ptCount val="6"/>
                <c:pt idx="0">
                  <c:v>120</c:v>
                </c:pt>
                <c:pt idx="1">
                  <c:v>95</c:v>
                </c:pt>
                <c:pt idx="2">
                  <c:v>60</c:v>
                </c:pt>
                <c:pt idx="3">
                  <c:v>150</c:v>
                </c:pt>
                <c:pt idx="4">
                  <c:v>30</c:v>
                </c:pt>
                <c:pt idx="5">
                  <c:v>170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006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60E-EF4E-BA2B-3D74AAFB57EE}"/>
            </c:ext>
          </c:extLst>
        </c:ser>
        <c:ser>
          <c:idx val="1"/>
          <c:order val="1"/>
          <c:tx>
            <c:strRef>
              <c:f>'Bar + Column'!$C$6</c:f>
              <c:strCache>
                <c:ptCount val="1"/>
                <c:pt idx="0">
                  <c:v>Void</c:v>
                </c:pt>
              </c:strCache>
            </c:strRef>
          </c:tx>
          <c:spPr>
            <a:solidFill>
              <a:srgbClr val="FB5607"/>
            </a:solidFill>
            <a:ln>
              <a:solidFill>
                <a:srgbClr val="FB5607"/>
              </a:solidFill>
              <a:prstDash val="solid"/>
            </a:ln>
          </c:spPr>
          <c:invertIfNegative val="1"/>
          <c:cat>
            <c:strRef>
              <c:f>'Bar + Column'!$A$7:$A$12</c:f>
              <c:strCache>
                <c:ptCount val="6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Delta</c:v>
                </c:pt>
                <c:pt idx="4">
                  <c:v>Epsilon</c:v>
                </c:pt>
                <c:pt idx="5">
                  <c:v>Zeta</c:v>
                </c:pt>
              </c:strCache>
            </c:strRef>
          </c:cat>
          <c:val>
            <c:numRef>
              <c:f>'Bar + Column'!$C$7:$C$12</c:f>
              <c:numCache>
                <c:formatCode>General</c:formatCode>
                <c:ptCount val="6"/>
                <c:pt idx="0">
                  <c:v>88</c:v>
                </c:pt>
                <c:pt idx="1">
                  <c:v>120</c:v>
                </c:pt>
                <c:pt idx="2">
                  <c:v>45</c:v>
                </c:pt>
                <c:pt idx="3">
                  <c:v>20</c:v>
                </c:pt>
                <c:pt idx="4">
                  <c:v>60</c:v>
                </c:pt>
                <c:pt idx="5">
                  <c:v>110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B560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60E-EF4E-BA2B-3D74AAFB57EE}"/>
            </c:ext>
          </c:extLst>
        </c:ser>
        <c:ser>
          <c:idx val="2"/>
          <c:order val="2"/>
          <c:tx>
            <c:strRef>
              <c:f>'Bar + Column'!$D$6</c:f>
              <c:strCache>
                <c:ptCount val="1"/>
                <c:pt idx="0">
                  <c:v>Glitch</c:v>
                </c:pt>
              </c:strCache>
            </c:strRef>
          </c:tx>
          <c:spPr>
            <a:solidFill>
              <a:srgbClr val="FFBE0B"/>
            </a:solidFill>
            <a:ln>
              <a:solidFill>
                <a:srgbClr val="FFBE0B"/>
              </a:solidFill>
              <a:prstDash val="solid"/>
            </a:ln>
          </c:spPr>
          <c:invertIfNegative val="1"/>
          <c:cat>
            <c:strRef>
              <c:f>'Bar + Column'!$A$7:$A$12</c:f>
              <c:strCache>
                <c:ptCount val="6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Delta</c:v>
                </c:pt>
                <c:pt idx="4">
                  <c:v>Epsilon</c:v>
                </c:pt>
                <c:pt idx="5">
                  <c:v>Zeta</c:v>
                </c:pt>
              </c:strCache>
            </c:strRef>
          </c:cat>
          <c:val>
            <c:numRef>
              <c:f>'Bar + Column'!$D$7:$D$12</c:f>
              <c:numCache>
                <c:formatCode>General</c:formatCode>
                <c:ptCount val="6"/>
                <c:pt idx="0">
                  <c:v>-30</c:v>
                </c:pt>
                <c:pt idx="1">
                  <c:v>10</c:v>
                </c:pt>
                <c:pt idx="2">
                  <c:v>0</c:v>
                </c:pt>
                <c:pt idx="3">
                  <c:v>80</c:v>
                </c:pt>
                <c:pt idx="4">
                  <c:v>95</c:v>
                </c:pt>
                <c:pt idx="5">
                  <c:v>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BE0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60E-EF4E-BA2B-3D74AAFB57EE}"/>
            </c:ext>
          </c:extLst>
        </c:ser>
        <c:ser>
          <c:idx val="3"/>
          <c:order val="3"/>
          <c:tx>
            <c:strRef>
              <c:f>'Bar + Column'!$E$6</c:f>
              <c:strCache>
                <c:ptCount val="1"/>
                <c:pt idx="0">
                  <c:v>Flux</c:v>
                </c:pt>
              </c:strCache>
            </c:strRef>
          </c:tx>
          <c:spPr>
            <a:solidFill>
              <a:srgbClr val="00F5D4"/>
            </a:solidFill>
            <a:ln>
              <a:solidFill>
                <a:srgbClr val="00F5D4"/>
              </a:solidFill>
              <a:prstDash val="solid"/>
            </a:ln>
          </c:spPr>
          <c:invertIfNegative val="1"/>
          <c:cat>
            <c:strRef>
              <c:f>'Bar + Column'!$A$7:$A$12</c:f>
              <c:strCache>
                <c:ptCount val="6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Delta</c:v>
                </c:pt>
                <c:pt idx="4">
                  <c:v>Epsilon</c:v>
                </c:pt>
                <c:pt idx="5">
                  <c:v>Zeta</c:v>
                </c:pt>
              </c:strCache>
            </c:strRef>
          </c:cat>
          <c:val>
            <c:numRef>
              <c:f>'Bar + Column'!$E$7:$E$12</c:f>
              <c:numCache>
                <c:formatCode>General</c:formatCode>
                <c:ptCount val="6"/>
                <c:pt idx="0">
                  <c:v>45</c:v>
                </c:pt>
                <c:pt idx="1">
                  <c:v>-15</c:v>
                </c:pt>
                <c:pt idx="2">
                  <c:v>30</c:v>
                </c:pt>
                <c:pt idx="3">
                  <c:v>66</c:v>
                </c:pt>
                <c:pt idx="4">
                  <c:v>-40</c:v>
                </c:pt>
                <c:pt idx="5">
                  <c:v>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F5D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60E-EF4E-BA2B-3D74AAFB5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Magnitude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t>Percent Stacked Bar</a:t>
            </a:r>
          </a:p>
        </c:rich>
      </c:tx>
      <c:overlay val="1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'Bar + Column'!$B$6</c:f>
              <c:strCache>
                <c:ptCount val="1"/>
                <c:pt idx="0">
                  <c:v>Neon</c:v>
                </c:pt>
              </c:strCache>
            </c:strRef>
          </c:tx>
          <c:spPr>
            <a:solidFill>
              <a:srgbClr val="FB5607"/>
            </a:solidFill>
            <a:ln>
              <a:solidFill>
                <a:srgbClr val="FB5607"/>
              </a:solidFill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Column'!$B$7:$B$12</c:f>
              <c:numCache>
                <c:formatCode>General</c:formatCode>
                <c:ptCount val="5"/>
                <c:pt idx="0">
                  <c:v>120</c:v>
                </c:pt>
                <c:pt idx="1">
                  <c:v>95</c:v>
                </c:pt>
                <c:pt idx="2">
                  <c:v>60</c:v>
                </c:pt>
                <c:pt idx="3">
                  <c:v>30</c:v>
                </c:pt>
                <c:pt idx="4">
                  <c:v>170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B560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CE7-A245-A97F-40C4C035D488}"/>
            </c:ext>
          </c:extLst>
        </c:ser>
        <c:ser>
          <c:idx val="1"/>
          <c:order val="1"/>
          <c:tx>
            <c:strRef>
              <c:f>'Bar + Column'!$C$6</c:f>
              <c:strCache>
                <c:ptCount val="1"/>
                <c:pt idx="0">
                  <c:v>Void</c:v>
                </c:pt>
              </c:strCache>
            </c:strRef>
          </c:tx>
          <c:spPr>
            <a:solidFill>
              <a:srgbClr val="FFBE0B"/>
            </a:solidFill>
            <a:ln>
              <a:solidFill>
                <a:srgbClr val="FFBE0B"/>
              </a:solidFill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Column'!$C$7:$C$12</c:f>
              <c:numCache>
                <c:formatCode>General</c:formatCode>
                <c:ptCount val="5"/>
                <c:pt idx="0">
                  <c:v>88</c:v>
                </c:pt>
                <c:pt idx="1">
                  <c:v>120</c:v>
                </c:pt>
                <c:pt idx="2">
                  <c:v>45</c:v>
                </c:pt>
                <c:pt idx="3">
                  <c:v>60</c:v>
                </c:pt>
                <c:pt idx="4">
                  <c:v>110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BE0B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CE7-A245-A97F-40C4C035D488}"/>
            </c:ext>
          </c:extLst>
        </c:ser>
        <c:ser>
          <c:idx val="2"/>
          <c:order val="2"/>
          <c:tx>
            <c:strRef>
              <c:f>'Bar + Column'!$D$6</c:f>
              <c:strCache>
                <c:ptCount val="1"/>
                <c:pt idx="0">
                  <c:v>Glitch</c:v>
                </c:pt>
              </c:strCache>
            </c:strRef>
          </c:tx>
          <c:spPr>
            <a:solidFill>
              <a:srgbClr val="00F5D4"/>
            </a:solidFill>
            <a:ln>
              <a:solidFill>
                <a:srgbClr val="00F5D4"/>
              </a:solidFill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Column'!$D$7:$D$12</c:f>
              <c:numCache>
                <c:formatCode>General</c:formatCode>
                <c:ptCount val="5"/>
                <c:pt idx="0">
                  <c:v>-30</c:v>
                </c:pt>
                <c:pt idx="1">
                  <c:v>10</c:v>
                </c:pt>
                <c:pt idx="2">
                  <c:v>0</c:v>
                </c:pt>
                <c:pt idx="3">
                  <c:v>95</c:v>
                </c:pt>
                <c:pt idx="4">
                  <c:v>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F5D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CE7-A245-A97F-40C4C035D488}"/>
            </c:ext>
          </c:extLst>
        </c:ser>
        <c:ser>
          <c:idx val="3"/>
          <c:order val="3"/>
          <c:tx>
            <c:strRef>
              <c:f>'Bar + Column'!$E$6</c:f>
              <c:strCache>
                <c:ptCount val="1"/>
                <c:pt idx="0">
                  <c:v>Flux</c:v>
                </c:pt>
              </c:strCache>
            </c:strRef>
          </c:tx>
          <c:spPr>
            <a:solidFill>
              <a:srgbClr val="00BBF9"/>
            </a:solidFill>
            <a:ln>
              <a:solidFill>
                <a:srgbClr val="00BBF9"/>
              </a:solidFill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Column'!$E$7:$E$12</c:f>
              <c:numCache>
                <c:formatCode>General</c:formatCode>
                <c:ptCount val="5"/>
                <c:pt idx="0">
                  <c:v>45</c:v>
                </c:pt>
                <c:pt idx="1">
                  <c:v>-15</c:v>
                </c:pt>
                <c:pt idx="2">
                  <c:v>30</c:v>
                </c:pt>
                <c:pt idx="3">
                  <c:v>-40</c:v>
                </c:pt>
                <c:pt idx="4">
                  <c:v>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BB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CE7-A245-A97F-40C4C035D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6"/>
  <c:chart>
    <c:title>
      <c:tx>
        <c:rich>
          <a:bodyPr/>
          <a:lstStyle/>
          <a:p>
            <a:pPr>
              <a:defRPr/>
            </a:pPr>
            <a:r>
              <a:t>3D Column Stack</a:t>
            </a:r>
          </a:p>
        </c:rich>
      </c:tx>
      <c:overlay val="1"/>
    </c:title>
    <c:autoTitleDeleted val="0"/>
    <c:view3D>
      <c:rotX val="18"/>
      <c:rotY val="28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1"/>
        <c:ser>
          <c:idx val="0"/>
          <c:order val="0"/>
          <c:tx>
            <c:strRef>
              <c:f>'Bar + Column'!$B$6</c:f>
              <c:strCache>
                <c:ptCount val="1"/>
                <c:pt idx="0">
                  <c:v>Neon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Column'!$B$7:$B$12</c:f>
              <c:numCache>
                <c:formatCode>General</c:formatCode>
                <c:ptCount val="5"/>
                <c:pt idx="0">
                  <c:v>120</c:v>
                </c:pt>
                <c:pt idx="1">
                  <c:v>95</c:v>
                </c:pt>
                <c:pt idx="2">
                  <c:v>60</c:v>
                </c:pt>
                <c:pt idx="3">
                  <c:v>30</c:v>
                </c:pt>
                <c:pt idx="4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B-6243-83DF-409D3BF2B1B6}"/>
            </c:ext>
          </c:extLst>
        </c:ser>
        <c:ser>
          <c:idx val="1"/>
          <c:order val="1"/>
          <c:tx>
            <c:strRef>
              <c:f>'Bar + Column'!$C$6</c:f>
              <c:strCache>
                <c:ptCount val="1"/>
                <c:pt idx="0">
                  <c:v>Void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Column'!$C$7:$C$12</c:f>
              <c:numCache>
                <c:formatCode>General</c:formatCode>
                <c:ptCount val="5"/>
                <c:pt idx="0">
                  <c:v>88</c:v>
                </c:pt>
                <c:pt idx="1">
                  <c:v>120</c:v>
                </c:pt>
                <c:pt idx="2">
                  <c:v>45</c:v>
                </c:pt>
                <c:pt idx="3">
                  <c:v>60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FB-6243-83DF-409D3BF2B1B6}"/>
            </c:ext>
          </c:extLst>
        </c:ser>
        <c:ser>
          <c:idx val="2"/>
          <c:order val="2"/>
          <c:tx>
            <c:strRef>
              <c:f>'Bar + Column'!$D$6</c:f>
              <c:strCache>
                <c:ptCount val="1"/>
                <c:pt idx="0">
                  <c:v>Glitch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Column'!$D$7:$D$12</c:f>
              <c:numCache>
                <c:formatCode>General</c:formatCode>
                <c:ptCount val="5"/>
                <c:pt idx="0">
                  <c:v>-30</c:v>
                </c:pt>
                <c:pt idx="1">
                  <c:v>10</c:v>
                </c:pt>
                <c:pt idx="2">
                  <c:v>0</c:v>
                </c:pt>
                <c:pt idx="3">
                  <c:v>95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FB-6243-83DF-409D3BF2B1B6}"/>
            </c:ext>
          </c:extLst>
        </c:ser>
        <c:ser>
          <c:idx val="3"/>
          <c:order val="3"/>
          <c:tx>
            <c:strRef>
              <c:f>'Bar + Column'!$E$6</c:f>
              <c:strCache>
                <c:ptCount val="1"/>
                <c:pt idx="0">
                  <c:v>Flux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Column'!$E$7:$E$12</c:f>
              <c:numCache>
                <c:formatCode>General</c:formatCode>
                <c:ptCount val="5"/>
                <c:pt idx="0">
                  <c:v>45</c:v>
                </c:pt>
                <c:pt idx="1">
                  <c:v>-15</c:v>
                </c:pt>
                <c:pt idx="2">
                  <c:v>30</c:v>
                </c:pt>
                <c:pt idx="3">
                  <c:v>-40</c:v>
                </c:pt>
                <c:pt idx="4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FB-6243-83DF-409D3BF2B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34"/>
  <c:chart>
    <c:title>
      <c:tx>
        <c:rich>
          <a:bodyPr/>
          <a:lstStyle/>
          <a:p>
            <a:pPr>
              <a:defRPr/>
            </a:pPr>
            <a:r>
              <a:t>3D Bar Percent Stack</a:t>
            </a:r>
          </a:p>
        </c:rich>
      </c:tx>
      <c:overlay val="1"/>
    </c:title>
    <c:autoTitleDeleted val="0"/>
    <c:view3D>
      <c:rotX val="20"/>
      <c:rotY val="12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percentStacked"/>
        <c:varyColors val="1"/>
        <c:ser>
          <c:idx val="0"/>
          <c:order val="0"/>
          <c:tx>
            <c:strRef>
              <c:f>'Bar + Column'!$B$6</c:f>
              <c:strCache>
                <c:ptCount val="1"/>
                <c:pt idx="0">
                  <c:v>Neon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Column'!$B$7:$B$12</c:f>
              <c:numCache>
                <c:formatCode>General</c:formatCode>
                <c:ptCount val="5"/>
                <c:pt idx="0">
                  <c:v>120</c:v>
                </c:pt>
                <c:pt idx="1">
                  <c:v>95</c:v>
                </c:pt>
                <c:pt idx="2">
                  <c:v>60</c:v>
                </c:pt>
                <c:pt idx="3">
                  <c:v>30</c:v>
                </c:pt>
                <c:pt idx="4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A-B546-B95D-6F9B94A2A42A}"/>
            </c:ext>
          </c:extLst>
        </c:ser>
        <c:ser>
          <c:idx val="1"/>
          <c:order val="1"/>
          <c:tx>
            <c:strRef>
              <c:f>'Bar + Column'!$C$6</c:f>
              <c:strCache>
                <c:ptCount val="1"/>
                <c:pt idx="0">
                  <c:v>Void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Column'!$C$7:$C$12</c:f>
              <c:numCache>
                <c:formatCode>General</c:formatCode>
                <c:ptCount val="5"/>
                <c:pt idx="0">
                  <c:v>88</c:v>
                </c:pt>
                <c:pt idx="1">
                  <c:v>120</c:v>
                </c:pt>
                <c:pt idx="2">
                  <c:v>45</c:v>
                </c:pt>
                <c:pt idx="3">
                  <c:v>60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AA-B546-B95D-6F9B94A2A42A}"/>
            </c:ext>
          </c:extLst>
        </c:ser>
        <c:ser>
          <c:idx val="2"/>
          <c:order val="2"/>
          <c:tx>
            <c:strRef>
              <c:f>'Bar + Column'!$D$6</c:f>
              <c:strCache>
                <c:ptCount val="1"/>
                <c:pt idx="0">
                  <c:v>Glitch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Column'!$D$7:$D$12</c:f>
              <c:numCache>
                <c:formatCode>General</c:formatCode>
                <c:ptCount val="5"/>
                <c:pt idx="0">
                  <c:v>-30</c:v>
                </c:pt>
                <c:pt idx="1">
                  <c:v>10</c:v>
                </c:pt>
                <c:pt idx="2">
                  <c:v>0</c:v>
                </c:pt>
                <c:pt idx="3">
                  <c:v>95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AA-B546-B95D-6F9B94A2A42A}"/>
            </c:ext>
          </c:extLst>
        </c:ser>
        <c:ser>
          <c:idx val="3"/>
          <c:order val="3"/>
          <c:tx>
            <c:strRef>
              <c:f>'Bar + Column'!$E$6</c:f>
              <c:strCache>
                <c:ptCount val="1"/>
                <c:pt idx="0">
                  <c:v>Flux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'Bar + Column'!$A$7:$A$12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Gamma</c:v>
                </c:pt>
                <c:pt idx="3">
                  <c:v>Epsilon</c:v>
                </c:pt>
                <c:pt idx="4">
                  <c:v>Zeta</c:v>
                </c:pt>
              </c:strCache>
            </c:strRef>
          </c:cat>
          <c:val>
            <c:numRef>
              <c:f>'Bar + Column'!$E$7:$E$12</c:f>
              <c:numCache>
                <c:formatCode>General</c:formatCode>
                <c:ptCount val="5"/>
                <c:pt idx="0">
                  <c:v>45</c:v>
                </c:pt>
                <c:pt idx="1">
                  <c:v>-15</c:v>
                </c:pt>
                <c:pt idx="2">
                  <c:v>30</c:v>
                </c:pt>
                <c:pt idx="3">
                  <c:v>-40</c:v>
                </c:pt>
                <c:pt idx="4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AA-B546-B95D-6F9B94A2A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"/>
        <c:axId val="100"/>
        <c:axId val="1000"/>
      </c:bar3D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Exploded Pie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'Pie Zoo'!$B$6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explosion val="18"/>
            <c:spPr>
              <a:solidFill>
                <a:srgbClr val="FF006E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6B8-9649-89D4-A55B0CF04B68}"/>
              </c:ext>
            </c:extLst>
          </c:dPt>
          <c:dPt>
            <c:idx val="1"/>
            <c:bubble3D val="0"/>
            <c:spPr>
              <a:solidFill>
                <a:srgbClr val="FB5607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6B8-9649-89D4-A55B0CF04B68}"/>
              </c:ext>
            </c:extLst>
          </c:dPt>
          <c:dPt>
            <c:idx val="2"/>
            <c:bubble3D val="0"/>
            <c:explosion val="22"/>
            <c:spPr>
              <a:solidFill>
                <a:srgbClr val="FFBE0B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6B8-9649-89D4-A55B0CF04B68}"/>
              </c:ext>
            </c:extLst>
          </c:dPt>
          <c:dPt>
            <c:idx val="3"/>
            <c:bubble3D val="0"/>
            <c:spPr>
              <a:solidFill>
                <a:srgbClr val="00F5D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6B8-9649-89D4-A55B0CF04B68}"/>
              </c:ext>
            </c:extLst>
          </c:dPt>
          <c:dPt>
            <c:idx val="4"/>
            <c:bubble3D val="0"/>
            <c:explosion val="26"/>
            <c:spPr>
              <a:solidFill>
                <a:srgbClr val="00BBF9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6B8-9649-89D4-A55B0CF04B6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Zoo'!$A$7:$A$11</c:f>
              <c:strCache>
                <c:ptCount val="5"/>
                <c:pt idx="0">
                  <c:v>Comets</c:v>
                </c:pt>
                <c:pt idx="1">
                  <c:v>Lasers</c:v>
                </c:pt>
                <c:pt idx="2">
                  <c:v>Ghosts</c:v>
                </c:pt>
                <c:pt idx="3">
                  <c:v>Velvet</c:v>
                </c:pt>
                <c:pt idx="4">
                  <c:v>Static</c:v>
                </c:pt>
              </c:strCache>
            </c:strRef>
          </c:cat>
          <c:val>
            <c:numRef>
              <c:f>'Pie Zoo'!$B$7:$B$11</c:f>
              <c:numCache>
                <c:formatCode>General</c:formatCode>
                <c:ptCount val="5"/>
                <c:pt idx="0">
                  <c:v>42</c:v>
                </c:pt>
                <c:pt idx="1">
                  <c:v>25</c:v>
                </c:pt>
                <c:pt idx="2">
                  <c:v>18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6B8-9649-89D4-A55B0CF04B6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29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8"/>
  <c:chart>
    <c:title>
      <c:tx>
        <c:rich>
          <a:bodyPr/>
          <a:lstStyle/>
          <a:p>
            <a:pPr>
              <a:defRPr/>
            </a:pPr>
            <a:r>
              <a:t>3D Pie</a:t>
            </a:r>
          </a:p>
        </c:rich>
      </c:tx>
      <c:overlay val="1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'Pie Zoo'!$B$6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BF9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A5D-154C-97DB-93ACD19D81C5}"/>
              </c:ext>
            </c:extLst>
          </c:dPt>
          <c:dPt>
            <c:idx val="1"/>
            <c:bubble3D val="0"/>
            <c:spPr>
              <a:solidFill>
                <a:srgbClr val="00F5D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A5D-154C-97DB-93ACD19D81C5}"/>
              </c:ext>
            </c:extLst>
          </c:dPt>
          <c:dPt>
            <c:idx val="2"/>
            <c:bubble3D val="0"/>
            <c:spPr>
              <a:solidFill>
                <a:srgbClr val="FFBE0B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A5D-154C-97DB-93ACD19D81C5}"/>
              </c:ext>
            </c:extLst>
          </c:dPt>
          <c:dPt>
            <c:idx val="3"/>
            <c:bubble3D val="0"/>
            <c:spPr>
              <a:solidFill>
                <a:srgbClr val="FB5607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A5D-154C-97DB-93ACD19D81C5}"/>
              </c:ext>
            </c:extLst>
          </c:dPt>
          <c:dPt>
            <c:idx val="4"/>
            <c:bubble3D val="0"/>
            <c:spPr>
              <a:solidFill>
                <a:srgbClr val="FF006E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A5D-154C-97DB-93ACD19D81C5}"/>
              </c:ext>
            </c:extLst>
          </c:dPt>
          <c:cat>
            <c:strRef>
              <c:f>'Pie Zoo'!$A$7:$A$11</c:f>
              <c:strCache>
                <c:ptCount val="5"/>
                <c:pt idx="0">
                  <c:v>Comets</c:v>
                </c:pt>
                <c:pt idx="1">
                  <c:v>Lasers</c:v>
                </c:pt>
                <c:pt idx="2">
                  <c:v>Ghosts</c:v>
                </c:pt>
                <c:pt idx="3">
                  <c:v>Velvet</c:v>
                </c:pt>
                <c:pt idx="4">
                  <c:v>Static</c:v>
                </c:pt>
              </c:strCache>
            </c:strRef>
          </c:cat>
          <c:val>
            <c:numRef>
              <c:f>'Pie Zoo'!$B$7:$B$11</c:f>
              <c:numCache>
                <c:formatCode>General</c:formatCode>
                <c:ptCount val="5"/>
                <c:pt idx="0">
                  <c:v>42</c:v>
                </c:pt>
                <c:pt idx="1">
                  <c:v>25</c:v>
                </c:pt>
                <c:pt idx="2">
                  <c:v>18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5D-154C-97DB-93ACD19D8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6"/>
  <c:chart>
    <c:title>
      <c:tx>
        <c:rich>
          <a:bodyPr/>
          <a:lstStyle/>
          <a:p>
            <a:pPr>
              <a:defRPr/>
            </a:pPr>
            <a:r>
              <a:t>Doughnut with Huge Hole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'Pie Zoo'!$B$6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FF006E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EAB-B648-970E-EE5997BE96EF}"/>
              </c:ext>
            </c:extLst>
          </c:dPt>
          <c:dPt>
            <c:idx val="1"/>
            <c:bubble3D val="0"/>
            <c:spPr>
              <a:solidFill>
                <a:srgbClr val="FB5607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EAB-B648-970E-EE5997BE96EF}"/>
              </c:ext>
            </c:extLst>
          </c:dPt>
          <c:dPt>
            <c:idx val="2"/>
            <c:bubble3D val="0"/>
            <c:spPr>
              <a:solidFill>
                <a:srgbClr val="FFBE0B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EAB-B648-970E-EE5997BE96EF}"/>
              </c:ext>
            </c:extLst>
          </c:dPt>
          <c:dPt>
            <c:idx val="3"/>
            <c:bubble3D val="0"/>
            <c:spPr>
              <a:solidFill>
                <a:srgbClr val="00F5D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EAB-B648-970E-EE5997BE96EF}"/>
              </c:ext>
            </c:extLst>
          </c:dPt>
          <c:dPt>
            <c:idx val="4"/>
            <c:bubble3D val="0"/>
            <c:spPr>
              <a:solidFill>
                <a:srgbClr val="00BBF9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EAB-B648-970E-EE5997BE96E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'Pie Zoo'!$A$7:$A$11</c:f>
              <c:strCache>
                <c:ptCount val="5"/>
                <c:pt idx="0">
                  <c:v>Comets</c:v>
                </c:pt>
                <c:pt idx="1">
                  <c:v>Lasers</c:v>
                </c:pt>
                <c:pt idx="2">
                  <c:v>Ghosts</c:v>
                </c:pt>
                <c:pt idx="3">
                  <c:v>Velvet</c:v>
                </c:pt>
                <c:pt idx="4">
                  <c:v>Static</c:v>
                </c:pt>
              </c:strCache>
            </c:strRef>
          </c:cat>
          <c:val>
            <c:numRef>
              <c:f>'Pie Zoo'!$B$7:$B$11</c:f>
              <c:numCache>
                <c:formatCode>General</c:formatCode>
                <c:ptCount val="5"/>
                <c:pt idx="0">
                  <c:v>42</c:v>
                </c:pt>
                <c:pt idx="1">
                  <c:v>25</c:v>
                </c:pt>
                <c:pt idx="2">
                  <c:v>18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AB-B648-970E-EE5997BE96E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245"/>
        <c:holeSize val="6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Bar-of-Pie Split</a:t>
            </a:r>
          </a:p>
        </c:rich>
      </c:tx>
      <c:overlay val="1"/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'Pie Zoo'!$B$6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FF006E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692-BF4F-BEAD-1C99C34D7365}"/>
              </c:ext>
            </c:extLst>
          </c:dPt>
          <c:dPt>
            <c:idx val="1"/>
            <c:bubble3D val="0"/>
            <c:spPr>
              <a:solidFill>
                <a:srgbClr val="FB5607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692-BF4F-BEAD-1C99C34D7365}"/>
              </c:ext>
            </c:extLst>
          </c:dPt>
          <c:dPt>
            <c:idx val="2"/>
            <c:bubble3D val="0"/>
            <c:spPr>
              <a:solidFill>
                <a:srgbClr val="FFBE0B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692-BF4F-BEAD-1C99C34D7365}"/>
              </c:ext>
            </c:extLst>
          </c:dPt>
          <c:dPt>
            <c:idx val="3"/>
            <c:bubble3D val="0"/>
            <c:spPr>
              <a:solidFill>
                <a:srgbClr val="00F5D4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692-BF4F-BEAD-1C99C34D7365}"/>
              </c:ext>
            </c:extLst>
          </c:dPt>
          <c:dPt>
            <c:idx val="4"/>
            <c:bubble3D val="0"/>
            <c:spPr>
              <a:solidFill>
                <a:srgbClr val="00BBF9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692-BF4F-BEAD-1C99C34D7365}"/>
              </c:ext>
            </c:extLst>
          </c:dPt>
          <c:cat>
            <c:strRef>
              <c:f>'Pie Zoo'!$A$7:$A$11</c:f>
              <c:strCache>
                <c:ptCount val="5"/>
                <c:pt idx="0">
                  <c:v>Comets</c:v>
                </c:pt>
                <c:pt idx="1">
                  <c:v>Lasers</c:v>
                </c:pt>
                <c:pt idx="2">
                  <c:v>Ghosts</c:v>
                </c:pt>
                <c:pt idx="3">
                  <c:v>Velvet</c:v>
                </c:pt>
                <c:pt idx="4">
                  <c:v>Static</c:v>
                </c:pt>
              </c:strCache>
            </c:strRef>
          </c:cat>
          <c:val>
            <c:numRef>
              <c:f>'Pie Zoo'!$B$7:$B$11</c:f>
              <c:numCache>
                <c:formatCode>General</c:formatCode>
                <c:ptCount val="5"/>
                <c:pt idx="0">
                  <c:v>42</c:v>
                </c:pt>
                <c:pt idx="1">
                  <c:v>25</c:v>
                </c:pt>
                <c:pt idx="2">
                  <c:v>18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692-BF4F-BEAD-1C99C34D7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val"/>
        <c:splitPos val="10"/>
        <c:secondPieSize val="120"/>
        <c:serLines/>
      </c:of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Scatter with Line + Marker Blend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'XY Chaos'!$B$6</c:f>
              <c:strCache>
                <c:ptCount val="1"/>
                <c:pt idx="0">
                  <c:v>Orbit</c:v>
                </c:pt>
              </c:strCache>
            </c:strRef>
          </c:tx>
          <c:spPr>
            <a:ln>
              <a:solidFill>
                <a:srgbClr val="FF006E"/>
              </a:solidFill>
              <a:prstDash val="solid"/>
            </a:ln>
          </c:spPr>
          <c:marker>
            <c:symbol val="circle"/>
            <c:size val="8"/>
            <c:spPr>
              <a:solidFill>
                <a:srgbClr val="FF006E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'XY Chaos'!$A$7:$A$16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'XY Chaos'!$B$7:$B$16</c:f>
              <c:numCache>
                <c:formatCode>General</c:formatCode>
                <c:ptCount val="10"/>
                <c:pt idx="0">
                  <c:v>4</c:v>
                </c:pt>
                <c:pt idx="1">
                  <c:v>7</c:v>
                </c:pt>
                <c:pt idx="2">
                  <c:v>12</c:v>
                </c:pt>
                <c:pt idx="3">
                  <c:v>19</c:v>
                </c:pt>
                <c:pt idx="4">
                  <c:v>28</c:v>
                </c:pt>
                <c:pt idx="5">
                  <c:v>39</c:v>
                </c:pt>
                <c:pt idx="6">
                  <c:v>52</c:v>
                </c:pt>
                <c:pt idx="7">
                  <c:v>67</c:v>
                </c:pt>
                <c:pt idx="8">
                  <c:v>84</c:v>
                </c:pt>
                <c:pt idx="9">
                  <c:v>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11-4440-9AE9-7C45162B6D52}"/>
            </c:ext>
          </c:extLst>
        </c:ser>
        <c:ser>
          <c:idx val="1"/>
          <c:order val="1"/>
          <c:tx>
            <c:strRef>
              <c:f>'XY Chaos'!$C$6</c:f>
              <c:strCache>
                <c:ptCount val="1"/>
                <c:pt idx="0">
                  <c:v>Decay</c:v>
                </c:pt>
              </c:strCache>
            </c:strRef>
          </c:tx>
          <c:spPr>
            <a:ln>
              <a:solidFill>
                <a:srgbClr val="3A86FF"/>
              </a:solidFill>
              <a:prstDash val="solid"/>
            </a:ln>
          </c:spPr>
          <c:marker>
            <c:symbol val="triangle"/>
            <c:size val="8"/>
            <c:spPr>
              <a:solidFill>
                <a:srgbClr val="3A86FF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'XY Chaos'!$A$7:$A$16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'XY Chaos'!$C$7:$C$16</c:f>
              <c:numCache>
                <c:formatCode>General</c:formatCode>
                <c:ptCount val="10"/>
                <c:pt idx="0">
                  <c:v>160</c:v>
                </c:pt>
                <c:pt idx="1">
                  <c:v>80</c:v>
                </c:pt>
                <c:pt idx="2">
                  <c:v>53</c:v>
                </c:pt>
                <c:pt idx="3">
                  <c:v>40</c:v>
                </c:pt>
                <c:pt idx="4">
                  <c:v>32</c:v>
                </c:pt>
                <c:pt idx="5">
                  <c:v>26</c:v>
                </c:pt>
                <c:pt idx="6">
                  <c:v>22</c:v>
                </c:pt>
                <c:pt idx="7">
                  <c:v>20</c:v>
                </c:pt>
                <c:pt idx="8">
                  <c:v>17</c:v>
                </c:pt>
                <c:pt idx="9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11-4440-9AE9-7C45162B6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6"/>
  <c:chart>
    <c:title>
      <c:tx>
        <c:rich>
          <a:bodyPr/>
          <a:lstStyle/>
          <a:p>
            <a:pPr>
              <a:defRPr/>
            </a:pPr>
            <a:r>
              <a:t>Smooth Scatter</a:t>
            </a:r>
          </a:p>
        </c:rich>
      </c:tx>
      <c:overlay val="1"/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'XY Chaos'!$D$6</c:f>
              <c:strCache>
                <c:ptCount val="1"/>
                <c:pt idx="0">
                  <c:v>Chaos</c:v>
                </c:pt>
              </c:strCache>
            </c:strRef>
          </c:tx>
          <c:spPr>
            <a:ln>
              <a:solidFill>
                <a:srgbClr val="8338EC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8338EC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xVal>
            <c:numRef>
              <c:f>'XY Chaos'!$A$7:$A$16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'XY Chaos'!$D$7:$D$16</c:f>
              <c:numCache>
                <c:formatCode>General</c:formatCode>
                <c:ptCount val="10"/>
                <c:pt idx="0">
                  <c:v>15</c:v>
                </c:pt>
                <c:pt idx="1">
                  <c:v>6</c:v>
                </c:pt>
                <c:pt idx="2">
                  <c:v>21</c:v>
                </c:pt>
                <c:pt idx="3">
                  <c:v>12</c:v>
                </c:pt>
                <c:pt idx="4">
                  <c:v>27</c:v>
                </c:pt>
                <c:pt idx="5">
                  <c:v>18</c:v>
                </c:pt>
                <c:pt idx="6">
                  <c:v>33</c:v>
                </c:pt>
                <c:pt idx="7">
                  <c:v>24</c:v>
                </c:pt>
                <c:pt idx="8">
                  <c:v>39</c:v>
                </c:pt>
                <c:pt idx="9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65-6E48-82BA-5E5B26836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9"/>
  <c:chart>
    <c:title>
      <c:tx>
        <c:rich>
          <a:bodyPr/>
          <a:lstStyle/>
          <a:p>
            <a:pPr>
              <a:defRPr/>
            </a:pPr>
            <a:r>
              <a:t>Bubble Storm</a:t>
            </a:r>
          </a:p>
        </c:rich>
      </c:tx>
      <c:overlay val="1"/>
    </c:title>
    <c:autoTitleDeleted val="0"/>
    <c:plotArea>
      <c:layout/>
      <c:bubbleChart>
        <c:varyColors val="1"/>
        <c:ser>
          <c:idx val="0"/>
          <c:order val="0"/>
          <c:tx>
            <c:v>Bubble Size</c:v>
          </c:tx>
          <c:spPr>
            <a:solidFill>
              <a:srgbClr val="06D6A0"/>
            </a:solidFill>
            <a:ln>
              <a:solidFill>
                <a:srgbClr val="06D6A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'XY Chaos'!$A$7:$A$16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'XY Chaos'!$D$7:$D$16</c:f>
              <c:numCache>
                <c:formatCode>General</c:formatCode>
                <c:ptCount val="10"/>
                <c:pt idx="0">
                  <c:v>15</c:v>
                </c:pt>
                <c:pt idx="1">
                  <c:v>6</c:v>
                </c:pt>
                <c:pt idx="2">
                  <c:v>21</c:v>
                </c:pt>
                <c:pt idx="3">
                  <c:v>12</c:v>
                </c:pt>
                <c:pt idx="4">
                  <c:v>27</c:v>
                </c:pt>
                <c:pt idx="5">
                  <c:v>18</c:v>
                </c:pt>
                <c:pt idx="6">
                  <c:v>33</c:v>
                </c:pt>
                <c:pt idx="7">
                  <c:v>24</c:v>
                </c:pt>
                <c:pt idx="8">
                  <c:v>39</c:v>
                </c:pt>
                <c:pt idx="9">
                  <c:v>30</c:v>
                </c:pt>
              </c:numCache>
            </c:numRef>
          </c:yVal>
          <c:bubbleSize>
            <c:numRef>
              <c:f>'XY Chaos'!$E$7:$E$16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18</c:v>
                </c:pt>
                <c:pt idx="3">
                  <c:v>28</c:v>
                </c:pt>
                <c:pt idx="4">
                  <c:v>38</c:v>
                </c:pt>
                <c:pt idx="5">
                  <c:v>36</c:v>
                </c:pt>
                <c:pt idx="6">
                  <c:v>46</c:v>
                </c:pt>
                <c:pt idx="7">
                  <c:v>56</c:v>
                </c:pt>
                <c:pt idx="8">
                  <c:v>54</c:v>
                </c:pt>
                <c:pt idx="9">
                  <c:v>64</c:v>
                </c:pt>
              </c:numCache>
            </c:numRef>
          </c:bubbleSize>
          <c:bubble3D val="0"/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6D6A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135-B548-B95A-CC9FE0C651B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bubbleScale val="135"/>
        <c:showNegBubbles val="1"/>
        <c:axId val="10"/>
        <c:axId val="20"/>
      </c:bubbleChart>
      <c:valAx>
        <c:axId val="1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6"/>
  <c:chart>
    <c:title>
      <c:tx>
        <c:rich>
          <a:bodyPr/>
          <a:lstStyle/>
          <a:p>
            <a:pPr>
              <a:defRPr/>
            </a:pPr>
            <a:r>
              <a:t>Filled Radar</a:t>
            </a:r>
          </a:p>
        </c:rich>
      </c:tx>
      <c:overlay val="1"/>
    </c:title>
    <c:autoTitleDeleted val="0"/>
    <c:plotArea>
      <c:layout/>
      <c:radarChart>
        <c:radarStyle val="filled"/>
        <c:varyColors val="1"/>
        <c:ser>
          <c:idx val="0"/>
          <c:order val="0"/>
          <c:tx>
            <c:strRef>
              <c:f>'Radar + Surface'!$B$6</c:f>
              <c:strCache>
                <c:ptCount val="1"/>
                <c:pt idx="0">
                  <c:v>Alpha</c:v>
                </c:pt>
              </c:strCache>
            </c:strRef>
          </c:tx>
          <c:spPr>
            <a:solidFill>
              <a:srgbClr val="FF006E"/>
            </a:solidFill>
            <a:ln>
              <a:solidFill>
                <a:srgbClr val="FF006E"/>
              </a:solidFill>
              <a:prstDash val="solid"/>
            </a:ln>
          </c:spPr>
          <c:cat>
            <c:strRef>
              <c:f>'Radar + Surface'!$A$7:$A$11</c:f>
              <c:strCache>
                <c:ptCount val="5"/>
                <c:pt idx="0">
                  <c:v>Speed</c:v>
                </c:pt>
                <c:pt idx="1">
                  <c:v>Taste</c:v>
                </c:pt>
                <c:pt idx="2">
                  <c:v>Chaos</c:v>
                </c:pt>
                <c:pt idx="3">
                  <c:v>Cost</c:v>
                </c:pt>
                <c:pt idx="4">
                  <c:v>Shine</c:v>
                </c:pt>
              </c:strCache>
            </c:strRef>
          </c:cat>
          <c:val>
            <c:numRef>
              <c:f>'Radar + Surface'!$B$7:$B$11</c:f>
              <c:numCache>
                <c:formatCode>General</c:formatCode>
                <c:ptCount val="5"/>
                <c:pt idx="0">
                  <c:v>80</c:v>
                </c:pt>
                <c:pt idx="1">
                  <c:v>40</c:v>
                </c:pt>
                <c:pt idx="2">
                  <c:v>95</c:v>
                </c:pt>
                <c:pt idx="3">
                  <c:v>60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3-BD41-B63B-C46418CA5BA7}"/>
            </c:ext>
          </c:extLst>
        </c:ser>
        <c:ser>
          <c:idx val="1"/>
          <c:order val="1"/>
          <c:tx>
            <c:strRef>
              <c:f>'Radar + Surface'!$C$6</c:f>
              <c:strCache>
                <c:ptCount val="1"/>
                <c:pt idx="0">
                  <c:v>Beta</c:v>
                </c:pt>
              </c:strCache>
            </c:strRef>
          </c:tx>
          <c:spPr>
            <a:solidFill>
              <a:srgbClr val="FB5607"/>
            </a:solidFill>
            <a:ln>
              <a:solidFill>
                <a:srgbClr val="FB5607"/>
              </a:solidFill>
              <a:prstDash val="solid"/>
            </a:ln>
          </c:spPr>
          <c:cat>
            <c:strRef>
              <c:f>'Radar + Surface'!$A$7:$A$11</c:f>
              <c:strCache>
                <c:ptCount val="5"/>
                <c:pt idx="0">
                  <c:v>Speed</c:v>
                </c:pt>
                <c:pt idx="1">
                  <c:v>Taste</c:v>
                </c:pt>
                <c:pt idx="2">
                  <c:v>Chaos</c:v>
                </c:pt>
                <c:pt idx="3">
                  <c:v>Cost</c:v>
                </c:pt>
                <c:pt idx="4">
                  <c:v>Shine</c:v>
                </c:pt>
              </c:strCache>
            </c:strRef>
          </c:cat>
          <c:val>
            <c:numRef>
              <c:f>'Radar + Surface'!$C$7:$C$11</c:f>
              <c:numCache>
                <c:formatCode>General</c:formatCode>
                <c:ptCount val="5"/>
                <c:pt idx="0">
                  <c:v>65</c:v>
                </c:pt>
                <c:pt idx="1">
                  <c:v>85</c:v>
                </c:pt>
                <c:pt idx="2">
                  <c:v>50</c:v>
                </c:pt>
                <c:pt idx="3">
                  <c:v>75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03-BD41-B63B-C46418CA5BA7}"/>
            </c:ext>
          </c:extLst>
        </c:ser>
        <c:ser>
          <c:idx val="2"/>
          <c:order val="2"/>
          <c:tx>
            <c:strRef>
              <c:f>'Radar + Surface'!$D$6</c:f>
              <c:strCache>
                <c:ptCount val="1"/>
                <c:pt idx="0">
                  <c:v>Gamma</c:v>
                </c:pt>
              </c:strCache>
            </c:strRef>
          </c:tx>
          <c:spPr>
            <a:solidFill>
              <a:srgbClr val="FFBE0B"/>
            </a:solidFill>
            <a:ln>
              <a:solidFill>
                <a:srgbClr val="FFBE0B"/>
              </a:solidFill>
              <a:prstDash val="solid"/>
            </a:ln>
          </c:spPr>
          <c:cat>
            <c:strRef>
              <c:f>'Radar + Surface'!$A$7:$A$11</c:f>
              <c:strCache>
                <c:ptCount val="5"/>
                <c:pt idx="0">
                  <c:v>Speed</c:v>
                </c:pt>
                <c:pt idx="1">
                  <c:v>Taste</c:v>
                </c:pt>
                <c:pt idx="2">
                  <c:v>Chaos</c:v>
                </c:pt>
                <c:pt idx="3">
                  <c:v>Cost</c:v>
                </c:pt>
                <c:pt idx="4">
                  <c:v>Shine</c:v>
                </c:pt>
              </c:strCache>
            </c:strRef>
          </c:cat>
          <c:val>
            <c:numRef>
              <c:f>'Radar + Surface'!$D$7:$D$11</c:f>
              <c:numCache>
                <c:formatCode>General</c:formatCode>
                <c:ptCount val="5"/>
                <c:pt idx="0">
                  <c:v>55</c:v>
                </c:pt>
                <c:pt idx="1">
                  <c:v>70</c:v>
                </c:pt>
                <c:pt idx="2">
                  <c:v>88</c:v>
                </c:pt>
                <c:pt idx="3">
                  <c:v>45</c:v>
                </c:pt>
                <c:pt idx="4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03-BD41-B63B-C46418CA5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34"/>
  <c:chart>
    <c:title>
      <c:tx>
        <c:rich>
          <a:bodyPr/>
          <a:lstStyle/>
          <a:p>
            <a:pPr>
              <a:defRPr/>
            </a:pPr>
            <a:r>
              <a:t>Wireframe Surface</a:t>
            </a:r>
          </a:p>
        </c:rich>
      </c:tx>
      <c:overlay val="1"/>
    </c:title>
    <c:autoTitleDeleted val="0"/>
    <c:view3D>
      <c:rotX val="9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surfaceChart>
        <c:wireframe val="1"/>
        <c:ser>
          <c:idx val="0"/>
          <c:order val="0"/>
          <c:tx>
            <c:strRef>
              <c:f>'Radar + Surface'!$B$16</c:f>
              <c:strCache>
                <c:ptCount val="1"/>
                <c:pt idx="0">
                  <c:v>Q1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Surface'!$B$17:$B$22</c:f>
              <c:numCache>
                <c:formatCode>General</c:formatCode>
                <c:ptCount val="6"/>
                <c:pt idx="0">
                  <c:v>12</c:v>
                </c:pt>
                <c:pt idx="1">
                  <c:v>20</c:v>
                </c:pt>
                <c:pt idx="2">
                  <c:v>15</c:v>
                </c:pt>
                <c:pt idx="3">
                  <c:v>9</c:v>
                </c:pt>
                <c:pt idx="4">
                  <c:v>6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8-7D49-9234-DF038CC66DF4}"/>
            </c:ext>
          </c:extLst>
        </c:ser>
        <c:ser>
          <c:idx val="1"/>
          <c:order val="1"/>
          <c:tx>
            <c:strRef>
              <c:f>'Radar + Surface'!$C$16</c:f>
              <c:strCache>
                <c:ptCount val="1"/>
                <c:pt idx="0">
                  <c:v>Q2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Surface'!$C$17:$C$22</c:f>
              <c:numCache>
                <c:formatCode>General</c:formatCode>
                <c:ptCount val="6"/>
                <c:pt idx="0">
                  <c:v>18</c:v>
                </c:pt>
                <c:pt idx="1">
                  <c:v>33</c:v>
                </c:pt>
                <c:pt idx="2">
                  <c:v>25</c:v>
                </c:pt>
                <c:pt idx="3">
                  <c:v>16</c:v>
                </c:pt>
                <c:pt idx="4">
                  <c:v>11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68-7D49-9234-DF038CC66DF4}"/>
            </c:ext>
          </c:extLst>
        </c:ser>
        <c:ser>
          <c:idx val="2"/>
          <c:order val="2"/>
          <c:tx>
            <c:strRef>
              <c:f>'Radar + Surface'!$D$16</c:f>
              <c:strCache>
                <c:ptCount val="1"/>
                <c:pt idx="0">
                  <c:v>Q3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Surface'!$D$17:$D$22</c:f>
              <c:numCache>
                <c:formatCode>General</c:formatCode>
                <c:ptCount val="6"/>
                <c:pt idx="0">
                  <c:v>27</c:v>
                </c:pt>
                <c:pt idx="1">
                  <c:v>41</c:v>
                </c:pt>
                <c:pt idx="2">
                  <c:v>37</c:v>
                </c:pt>
                <c:pt idx="3">
                  <c:v>28</c:v>
                </c:pt>
                <c:pt idx="4">
                  <c:v>18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68-7D49-9234-DF038CC66DF4}"/>
            </c:ext>
          </c:extLst>
        </c:ser>
        <c:ser>
          <c:idx val="3"/>
          <c:order val="3"/>
          <c:tx>
            <c:strRef>
              <c:f>'Radar + Surface'!$E$16</c:f>
              <c:strCache>
                <c:ptCount val="1"/>
                <c:pt idx="0">
                  <c:v>Q4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Surface'!$E$17:$E$22</c:f>
              <c:numCache>
                <c:formatCode>General</c:formatCode>
                <c:ptCount val="6"/>
                <c:pt idx="0">
                  <c:v>26</c:v>
                </c:pt>
                <c:pt idx="1">
                  <c:v>38</c:v>
                </c:pt>
                <c:pt idx="2">
                  <c:v>42</c:v>
                </c:pt>
                <c:pt idx="3">
                  <c:v>31</c:v>
                </c:pt>
                <c:pt idx="4">
                  <c:v>26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68-7D49-9234-DF038CC66DF4}"/>
            </c:ext>
          </c:extLst>
        </c:ser>
        <c:ser>
          <c:idx val="4"/>
          <c:order val="4"/>
          <c:tx>
            <c:strRef>
              <c:f>'Radar + Surface'!$F$16</c:f>
              <c:strCache>
                <c:ptCount val="1"/>
                <c:pt idx="0">
                  <c:v>Q5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Surface'!$F$17:$F$22</c:f>
              <c:numCache>
                <c:formatCode>General</c:formatCode>
                <c:ptCount val="6"/>
                <c:pt idx="0">
                  <c:v>14</c:v>
                </c:pt>
                <c:pt idx="1">
                  <c:v>22</c:v>
                </c:pt>
                <c:pt idx="2">
                  <c:v>29</c:v>
                </c:pt>
                <c:pt idx="3">
                  <c:v>24</c:v>
                </c:pt>
                <c:pt idx="4">
                  <c:v>33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68-7D49-9234-DF038CC66DF4}"/>
            </c:ext>
          </c:extLst>
        </c:ser>
        <c:ser>
          <c:idx val="5"/>
          <c:order val="5"/>
          <c:tx>
            <c:strRef>
              <c:f>'Radar + Surface'!$G$16</c:f>
              <c:strCache>
                <c:ptCount val="1"/>
                <c:pt idx="0">
                  <c:v>Q6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Surface'!$G$17:$G$22</c:f>
              <c:numCache>
                <c:formatCode>General</c:formatCode>
                <c:ptCount val="6"/>
                <c:pt idx="0">
                  <c:v>8</c:v>
                </c:pt>
                <c:pt idx="1">
                  <c:v>11</c:v>
                </c:pt>
                <c:pt idx="2">
                  <c:v>18</c:v>
                </c:pt>
                <c:pt idx="3">
                  <c:v>16</c:v>
                </c:pt>
                <c:pt idx="4">
                  <c:v>24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68-7D49-9234-DF038CC66DF4}"/>
            </c:ext>
          </c:extLst>
        </c:ser>
        <c:bandFmts/>
        <c:axId val="10"/>
        <c:axId val="100"/>
        <c:axId val="1000"/>
      </c:surfac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35"/>
  <c:chart>
    <c:title>
      <c:tx>
        <c:rich>
          <a:bodyPr/>
          <a:lstStyle/>
          <a:p>
            <a:pPr>
              <a:defRPr/>
            </a:pPr>
            <a:r>
              <a:t>3D Surface</a:t>
            </a:r>
          </a:p>
        </c:rich>
      </c:tx>
      <c:overlay val="1"/>
    </c:title>
    <c:autoTitleDeleted val="0"/>
    <c:view3D>
      <c:rotX val="2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surface3DChart>
        <c:wireframe val="0"/>
        <c:ser>
          <c:idx val="0"/>
          <c:order val="0"/>
          <c:tx>
            <c:strRef>
              <c:f>'Radar + Surface'!$B$16</c:f>
              <c:strCache>
                <c:ptCount val="1"/>
                <c:pt idx="0">
                  <c:v>Q1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Surface'!$B$17:$B$22</c:f>
              <c:numCache>
                <c:formatCode>General</c:formatCode>
                <c:ptCount val="6"/>
                <c:pt idx="0">
                  <c:v>12</c:v>
                </c:pt>
                <c:pt idx="1">
                  <c:v>20</c:v>
                </c:pt>
                <c:pt idx="2">
                  <c:v>15</c:v>
                </c:pt>
                <c:pt idx="3">
                  <c:v>9</c:v>
                </c:pt>
                <c:pt idx="4">
                  <c:v>6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9-F04D-81CF-F3830D349F21}"/>
            </c:ext>
          </c:extLst>
        </c:ser>
        <c:ser>
          <c:idx val="1"/>
          <c:order val="1"/>
          <c:tx>
            <c:strRef>
              <c:f>'Radar + Surface'!$C$16</c:f>
              <c:strCache>
                <c:ptCount val="1"/>
                <c:pt idx="0">
                  <c:v>Q2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Surface'!$C$17:$C$22</c:f>
              <c:numCache>
                <c:formatCode>General</c:formatCode>
                <c:ptCount val="6"/>
                <c:pt idx="0">
                  <c:v>18</c:v>
                </c:pt>
                <c:pt idx="1">
                  <c:v>33</c:v>
                </c:pt>
                <c:pt idx="2">
                  <c:v>25</c:v>
                </c:pt>
                <c:pt idx="3">
                  <c:v>16</c:v>
                </c:pt>
                <c:pt idx="4">
                  <c:v>11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9-F04D-81CF-F3830D349F21}"/>
            </c:ext>
          </c:extLst>
        </c:ser>
        <c:ser>
          <c:idx val="2"/>
          <c:order val="2"/>
          <c:tx>
            <c:strRef>
              <c:f>'Radar + Surface'!$D$16</c:f>
              <c:strCache>
                <c:ptCount val="1"/>
                <c:pt idx="0">
                  <c:v>Q3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Surface'!$D$17:$D$22</c:f>
              <c:numCache>
                <c:formatCode>General</c:formatCode>
                <c:ptCount val="6"/>
                <c:pt idx="0">
                  <c:v>27</c:v>
                </c:pt>
                <c:pt idx="1">
                  <c:v>41</c:v>
                </c:pt>
                <c:pt idx="2">
                  <c:v>37</c:v>
                </c:pt>
                <c:pt idx="3">
                  <c:v>28</c:v>
                </c:pt>
                <c:pt idx="4">
                  <c:v>18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09-F04D-81CF-F3830D349F21}"/>
            </c:ext>
          </c:extLst>
        </c:ser>
        <c:ser>
          <c:idx val="3"/>
          <c:order val="3"/>
          <c:tx>
            <c:strRef>
              <c:f>'Radar + Surface'!$E$16</c:f>
              <c:strCache>
                <c:ptCount val="1"/>
                <c:pt idx="0">
                  <c:v>Q4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Surface'!$E$17:$E$22</c:f>
              <c:numCache>
                <c:formatCode>General</c:formatCode>
                <c:ptCount val="6"/>
                <c:pt idx="0">
                  <c:v>26</c:v>
                </c:pt>
                <c:pt idx="1">
                  <c:v>38</c:v>
                </c:pt>
                <c:pt idx="2">
                  <c:v>42</c:v>
                </c:pt>
                <c:pt idx="3">
                  <c:v>31</c:v>
                </c:pt>
                <c:pt idx="4">
                  <c:v>26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09-F04D-81CF-F3830D349F21}"/>
            </c:ext>
          </c:extLst>
        </c:ser>
        <c:ser>
          <c:idx val="4"/>
          <c:order val="4"/>
          <c:tx>
            <c:strRef>
              <c:f>'Radar + Surface'!$F$16</c:f>
              <c:strCache>
                <c:ptCount val="1"/>
                <c:pt idx="0">
                  <c:v>Q5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Surface'!$F$17:$F$22</c:f>
              <c:numCache>
                <c:formatCode>General</c:formatCode>
                <c:ptCount val="6"/>
                <c:pt idx="0">
                  <c:v>14</c:v>
                </c:pt>
                <c:pt idx="1">
                  <c:v>22</c:v>
                </c:pt>
                <c:pt idx="2">
                  <c:v>29</c:v>
                </c:pt>
                <c:pt idx="3">
                  <c:v>24</c:v>
                </c:pt>
                <c:pt idx="4">
                  <c:v>33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09-F04D-81CF-F3830D349F21}"/>
            </c:ext>
          </c:extLst>
        </c:ser>
        <c:ser>
          <c:idx val="5"/>
          <c:order val="5"/>
          <c:tx>
            <c:strRef>
              <c:f>'Radar + Surface'!$G$16</c:f>
              <c:strCache>
                <c:ptCount val="1"/>
                <c:pt idx="0">
                  <c:v>Q6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'Radar + Surface'!$A$17:$A$22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Core</c:v>
                </c:pt>
                <c:pt idx="5">
                  <c:v>Edge</c:v>
                </c:pt>
              </c:strCache>
            </c:strRef>
          </c:cat>
          <c:val>
            <c:numRef>
              <c:f>'Radar + Surface'!$G$17:$G$22</c:f>
              <c:numCache>
                <c:formatCode>General</c:formatCode>
                <c:ptCount val="6"/>
                <c:pt idx="0">
                  <c:v>8</c:v>
                </c:pt>
                <c:pt idx="1">
                  <c:v>11</c:v>
                </c:pt>
                <c:pt idx="2">
                  <c:v>18</c:v>
                </c:pt>
                <c:pt idx="3">
                  <c:v>16</c:v>
                </c:pt>
                <c:pt idx="4">
                  <c:v>24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09-F04D-81CF-F3830D349F21}"/>
            </c:ext>
          </c:extLst>
        </c:ser>
        <c:bandFmts/>
        <c:axId val="10"/>
        <c:axId val="100"/>
        <c:axId val="1000"/>
      </c:surface3D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  <c:serAx>
        <c:axId val="10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"/>
        <c:crosses val="autoZero"/>
      </c:ser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High-Low-Close</a:t>
            </a:r>
          </a:p>
        </c:rich>
      </c:tx>
      <c:overlay val="1"/>
    </c:title>
    <c:autoTitleDeleted val="0"/>
    <c:plotArea>
      <c:layout/>
      <c:stockChart>
        <c:ser>
          <c:idx val="0"/>
          <c:order val="0"/>
          <c:tx>
            <c:strRef>
              <c:f>'Stock + Combo'!$B$6</c:f>
              <c:strCache>
                <c:ptCount val="1"/>
                <c:pt idx="0">
                  <c:v>High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'Stock + Combo'!$A$7:$A$14</c:f>
              <c:numCache>
                <c:formatCode>mmm\ d</c:formatCode>
                <c:ptCount val="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</c:numCache>
            </c:numRef>
          </c:cat>
          <c:val>
            <c:numRef>
              <c:f>'Stock + Combo'!$B$7:$B$14</c:f>
              <c:numCache>
                <c:formatCode>General</c:formatCode>
                <c:ptCount val="8"/>
                <c:pt idx="0">
                  <c:v>112</c:v>
                </c:pt>
                <c:pt idx="1">
                  <c:v>115</c:v>
                </c:pt>
                <c:pt idx="2">
                  <c:v>118</c:v>
                </c:pt>
                <c:pt idx="3">
                  <c:v>121</c:v>
                </c:pt>
                <c:pt idx="4">
                  <c:v>124</c:v>
                </c:pt>
                <c:pt idx="5">
                  <c:v>127</c:v>
                </c:pt>
                <c:pt idx="6">
                  <c:v>130</c:v>
                </c:pt>
                <c:pt idx="7">
                  <c:v>133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94-D441-B7A3-30D1D64766E5}"/>
            </c:ext>
          </c:extLst>
        </c:ser>
        <c:ser>
          <c:idx val="1"/>
          <c:order val="1"/>
          <c:tx>
            <c:strRef>
              <c:f>'Stock + Combo'!$C$6</c:f>
              <c:strCache>
                <c:ptCount val="1"/>
                <c:pt idx="0">
                  <c:v>Low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'Stock + Combo'!$A$7:$A$14</c:f>
              <c:numCache>
                <c:formatCode>mmm\ d</c:formatCode>
                <c:ptCount val="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</c:numCache>
            </c:numRef>
          </c:cat>
          <c:val>
            <c:numRef>
              <c:f>'Stock + Combo'!$C$7:$C$14</c:f>
              <c:numCache>
                <c:formatCode>General</c:formatCode>
                <c:ptCount val="8"/>
                <c:pt idx="0">
                  <c:v>84</c:v>
                </c:pt>
                <c:pt idx="1">
                  <c:v>86</c:v>
                </c:pt>
                <c:pt idx="2">
                  <c:v>88</c:v>
                </c:pt>
                <c:pt idx="3">
                  <c:v>90</c:v>
                </c:pt>
                <c:pt idx="4">
                  <c:v>92</c:v>
                </c:pt>
                <c:pt idx="5">
                  <c:v>94</c:v>
                </c:pt>
                <c:pt idx="6">
                  <c:v>96</c:v>
                </c:pt>
                <c:pt idx="7">
                  <c:v>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A94-D441-B7A3-30D1D64766E5}"/>
            </c:ext>
          </c:extLst>
        </c:ser>
        <c:ser>
          <c:idx val="2"/>
          <c:order val="2"/>
          <c:tx>
            <c:strRef>
              <c:f>'Stock + Combo'!$D$6</c:f>
              <c:strCache>
                <c:ptCount val="1"/>
                <c:pt idx="0">
                  <c:v>Close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'Stock + Combo'!$A$7:$A$14</c:f>
              <c:numCache>
                <c:formatCode>mmm\ d</c:formatCode>
                <c:ptCount val="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</c:numCache>
            </c:numRef>
          </c:cat>
          <c:val>
            <c:numRef>
              <c:f>'Stock + Combo'!$D$7:$D$14</c:f>
              <c:numCache>
                <c:formatCode>General</c:formatCode>
                <c:ptCount val="8"/>
                <c:pt idx="0">
                  <c:v>96</c:v>
                </c:pt>
                <c:pt idx="1">
                  <c:v>98</c:v>
                </c:pt>
                <c:pt idx="2">
                  <c:v>100</c:v>
                </c:pt>
                <c:pt idx="3">
                  <c:v>102</c:v>
                </c:pt>
                <c:pt idx="4">
                  <c:v>104</c:v>
                </c:pt>
                <c:pt idx="5">
                  <c:v>106</c:v>
                </c:pt>
                <c:pt idx="6">
                  <c:v>108</c:v>
                </c:pt>
                <c:pt idx="7">
                  <c:v>110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A94-D441-B7A3-30D1D6476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stockChart>
      <c:dateAx>
        <c:axId val="10"/>
        <c:scaling>
          <c:orientation val="minMax"/>
        </c:scaling>
        <c:delete val="1"/>
        <c:axPos val="b"/>
        <c:numFmt formatCode="mmm\ 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Sales vs Margin %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'Stock + Combo'!$E$6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F8500"/>
            </a:solidFill>
            <a:ln>
              <a:solidFill>
                <a:srgbClr val="FF8500"/>
              </a:solidFill>
              <a:prstDash val="solid"/>
            </a:ln>
          </c:spPr>
          <c:invertIfNegative val="1"/>
          <c:cat>
            <c:numRef>
              <c:f>'Stock + Combo'!$A$7:$A$14</c:f>
              <c:numCache>
                <c:formatCode>mmm\ d</c:formatCode>
                <c:ptCount val="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</c:numCache>
            </c:numRef>
          </c:cat>
          <c:val>
            <c:numRef>
              <c:f>'Stock + Combo'!$E$7:$E$14</c:f>
              <c:numCache>
                <c:formatCode>General</c:formatCode>
                <c:ptCount val="8"/>
                <c:pt idx="0">
                  <c:v>220</c:v>
                </c:pt>
                <c:pt idx="1">
                  <c:v>238</c:v>
                </c:pt>
                <c:pt idx="2">
                  <c:v>256</c:v>
                </c:pt>
                <c:pt idx="3">
                  <c:v>274</c:v>
                </c:pt>
                <c:pt idx="4">
                  <c:v>292</c:v>
                </c:pt>
                <c:pt idx="5">
                  <c:v>310</c:v>
                </c:pt>
                <c:pt idx="6">
                  <c:v>328</c:v>
                </c:pt>
                <c:pt idx="7">
                  <c:v>346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85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D0D-5349-9628-D3BCF4899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'Stock + Combo'!$F$6</c:f>
              <c:strCache>
                <c:ptCount val="1"/>
                <c:pt idx="0">
                  <c:v>Margin %</c:v>
                </c:pt>
              </c:strCache>
            </c:strRef>
          </c:tx>
          <c:spPr>
            <a:ln>
              <a:solidFill>
                <a:srgbClr val="4361EE"/>
              </a:solidFill>
              <a:prstDash val="solid"/>
            </a:ln>
          </c:spPr>
          <c:marker>
            <c:symbol val="star"/>
            <c:size val="9"/>
            <c:spPr>
              <a:ln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val>
            <c:numRef>
              <c:f>'Stock + Combo'!$F$7:$F$14</c:f>
              <c:numCache>
                <c:formatCode>0.0%</c:formatCode>
                <c:ptCount val="8"/>
                <c:pt idx="0">
                  <c:v>0.18</c:v>
                </c:pt>
                <c:pt idx="1">
                  <c:v>0.192</c:v>
                </c:pt>
                <c:pt idx="2">
                  <c:v>0.20399999999999999</c:v>
                </c:pt>
                <c:pt idx="3">
                  <c:v>0.216</c:v>
                </c:pt>
                <c:pt idx="4">
                  <c:v>0.22800000000000001</c:v>
                </c:pt>
                <c:pt idx="5">
                  <c:v>0.24</c:v>
                </c:pt>
                <c:pt idx="6">
                  <c:v>0.252</c:v>
                </c:pt>
                <c:pt idx="7">
                  <c:v>0.26400000000000001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D0D-5349-9628-D3BCF4899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dateAx>
        <c:axId val="10"/>
        <c:scaling>
          <c:orientation val="minMax"/>
        </c:scaling>
        <c:delete val="1"/>
        <c:axPos val="b"/>
        <c:numFmt formatCode="mmm\ 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Margin %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0</xdr:colOff>
      <xdr:row>7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24</xdr:row>
      <xdr:rowOff>0</xdr:rowOff>
    </xdr:from>
    <xdr:ext cx="54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0</xdr:colOff>
      <xdr:row>24</xdr:row>
      <xdr:rowOff>0</xdr:rowOff>
    </xdr:from>
    <xdr:ext cx="540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24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24</xdr:row>
      <xdr:rowOff>0</xdr:rowOff>
    </xdr:from>
    <xdr:ext cx="504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7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24</xdr:row>
      <xdr:rowOff>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0</xdr:colOff>
      <xdr:row>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15</xdr:col>
      <xdr:colOff>0</xdr:colOff>
      <xdr:row>24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7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7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rColumnData" displayName="BarColumnData" ref="A6:E12">
  <autoFilter ref="A6:E12" xr:uid="{00000000-0009-0000-0100-000001000000}"/>
  <tableColumns count="5">
    <tableColumn id="1" xr3:uid="{00000000-0010-0000-0000-000001000000}" name="Category"/>
    <tableColumn id="2" xr3:uid="{00000000-0010-0000-0000-000002000000}" name="Neon"/>
    <tableColumn id="3" xr3:uid="{00000000-0010-0000-0000-000003000000}" name="Void"/>
    <tableColumn id="4" xr3:uid="{00000000-0010-0000-0000-000004000000}" name="Glitch"/>
    <tableColumn id="5" xr3:uid="{00000000-0010-0000-0000-000005000000}" name="Flux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ineAreaData" displayName="LineAreaData" ref="A6:E16">
  <autoFilter ref="A6:E16" xr:uid="{00000000-0009-0000-0100-000002000000}"/>
  <tableColumns count="5">
    <tableColumn id="1" xr3:uid="{00000000-0010-0000-0100-000001000000}" name="Date"/>
    <tableColumn id="2" xr3:uid="{00000000-0010-0000-0100-000002000000}" name="Pulse"/>
    <tableColumn id="3" xr3:uid="{00000000-0010-0000-0100-000003000000}" name="Decay"/>
    <tableColumn id="4" xr3:uid="{00000000-0010-0000-0100-000004000000}" name="Noise"/>
    <tableColumn id="5" xr3:uid="{00000000-0010-0000-0100-000005000000}" name="Cumulative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ieData" displayName="PieData" ref="A6:B11">
  <autoFilter ref="A6:B11" xr:uid="{00000000-0009-0000-0100-000003000000}"/>
  <tableColumns count="2">
    <tableColumn id="1" xr3:uid="{00000000-0010-0000-0200-000001000000}" name="Segment"/>
    <tableColumn id="2" xr3:uid="{00000000-0010-0000-0200-000002000000}" name="Value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XYData" displayName="XYData" ref="A6:E16">
  <autoFilter ref="A6:E16" xr:uid="{00000000-0009-0000-0100-000004000000}"/>
  <tableColumns count="5">
    <tableColumn id="1" xr3:uid="{00000000-0010-0000-0300-000001000000}" name="X"/>
    <tableColumn id="2" xr3:uid="{00000000-0010-0000-0300-000002000000}" name="Orbit"/>
    <tableColumn id="3" xr3:uid="{00000000-0010-0000-0300-000003000000}" name="Decay"/>
    <tableColumn id="4" xr3:uid="{00000000-0010-0000-0300-000004000000}" name="Chaos"/>
    <tableColumn id="5" xr3:uid="{00000000-0010-0000-0300-000005000000}" name="Bubble Size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adarData" displayName="RadarData" ref="A6:D11">
  <autoFilter ref="A6:D11" xr:uid="{00000000-0009-0000-0100-000005000000}"/>
  <tableColumns count="4">
    <tableColumn id="1" xr3:uid="{00000000-0010-0000-0400-000001000000}" name="Metric"/>
    <tableColumn id="2" xr3:uid="{00000000-0010-0000-0400-000002000000}" name="Alpha"/>
    <tableColumn id="3" xr3:uid="{00000000-0010-0000-0400-000003000000}" name="Beta"/>
    <tableColumn id="4" xr3:uid="{00000000-0010-0000-0400-000004000000}" name="Gamma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tockComboData" displayName="StockComboData" ref="A6:F14">
  <autoFilter ref="A6:F14" xr:uid="{00000000-0009-0000-0100-000006000000}"/>
  <tableColumns count="6">
    <tableColumn id="1" xr3:uid="{00000000-0010-0000-0500-000001000000}" name="Date"/>
    <tableColumn id="2" xr3:uid="{00000000-0010-0000-0500-000002000000}" name="High"/>
    <tableColumn id="3" xr3:uid="{00000000-0010-0000-0500-000003000000}" name="Low"/>
    <tableColumn id="4" xr3:uid="{00000000-0010-0000-0500-000004000000}" name="Close"/>
    <tableColumn id="5" xr3:uid="{00000000-0010-0000-0500-000005000000}" name="Sales"/>
    <tableColumn id="6" xr3:uid="{00000000-0010-0000-0500-000006000000}" name="Margin %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0046"/>
    <pageSetUpPr fitToPage="1"/>
  </sheetPr>
  <dimension ref="A1:N18"/>
  <sheetViews>
    <sheetView tabSelected="1" zoomScale="85" workbookViewId="0">
      <pane ySplit="5" topLeftCell="A6" activePane="bottomLeft" state="frozen"/>
      <selection pane="bottomLeft" sqref="A1:N3"/>
    </sheetView>
  </sheetViews>
  <sheetFormatPr baseColWidth="10" defaultColWidth="8.83203125" defaultRowHeight="15" x14ac:dyDescent="0.2"/>
  <cols>
    <col min="1" max="1" width="22" customWidth="1"/>
    <col min="2" max="2" width="78" customWidth="1"/>
    <col min="4" max="4" width="22" customWidth="1"/>
    <col min="5" max="5" width="30" customWidth="1"/>
  </cols>
  <sheetData>
    <row r="1" spans="1:14" ht="28" customHeight="1" x14ac:dyDescent="0.2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8" customHeigh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8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x14ac:dyDescent="0.2">
      <c r="A4" s="1" t="s">
        <v>1</v>
      </c>
    </row>
    <row r="6" spans="1:14" x14ac:dyDescent="0.2">
      <c r="A6" s="2" t="s">
        <v>2</v>
      </c>
      <c r="B6" s="2" t="s">
        <v>3</v>
      </c>
      <c r="D6" s="3" t="s">
        <v>4</v>
      </c>
    </row>
    <row r="7" spans="1:14" x14ac:dyDescent="0.2">
      <c r="A7" s="4" t="s">
        <v>5</v>
      </c>
      <c r="B7" s="4" t="s">
        <v>6</v>
      </c>
      <c r="D7" s="5" t="s">
        <v>7</v>
      </c>
      <c r="E7">
        <v>16</v>
      </c>
    </row>
    <row r="8" spans="1:14" x14ac:dyDescent="0.2">
      <c r="A8" s="6" t="s">
        <v>8</v>
      </c>
      <c r="B8" s="6" t="s">
        <v>9</v>
      </c>
      <c r="D8" s="5" t="s">
        <v>10</v>
      </c>
      <c r="E8">
        <v>8</v>
      </c>
    </row>
    <row r="9" spans="1:14" x14ac:dyDescent="0.2">
      <c r="A9" s="4" t="s">
        <v>11</v>
      </c>
      <c r="B9" s="4" t="s">
        <v>12</v>
      </c>
      <c r="D9" s="5" t="s">
        <v>13</v>
      </c>
      <c r="E9">
        <v>27</v>
      </c>
    </row>
    <row r="10" spans="1:14" x14ac:dyDescent="0.2">
      <c r="A10" s="6" t="s">
        <v>14</v>
      </c>
      <c r="B10" s="6" t="s">
        <v>15</v>
      </c>
      <c r="D10" s="5" t="s">
        <v>16</v>
      </c>
      <c r="E10" t="s">
        <v>17</v>
      </c>
    </row>
    <row r="11" spans="1:14" x14ac:dyDescent="0.2">
      <c r="A11" s="4" t="s">
        <v>18</v>
      </c>
      <c r="B11" s="4" t="s">
        <v>19</v>
      </c>
    </row>
    <row r="12" spans="1:14" x14ac:dyDescent="0.2">
      <c r="A12" s="6" t="s">
        <v>20</v>
      </c>
      <c r="B12" s="6" t="s">
        <v>21</v>
      </c>
    </row>
    <row r="13" spans="1:14" x14ac:dyDescent="0.2">
      <c r="A13" s="4" t="s">
        <v>22</v>
      </c>
      <c r="B13" s="4" t="s">
        <v>23</v>
      </c>
    </row>
    <row r="15" spans="1:14" x14ac:dyDescent="0.2">
      <c r="A15" t="s">
        <v>24</v>
      </c>
    </row>
    <row r="16" spans="1:14" x14ac:dyDescent="0.2">
      <c r="A16" t="s">
        <v>25</v>
      </c>
    </row>
    <row r="17" spans="1:1" x14ac:dyDescent="0.2">
      <c r="A17" t="s">
        <v>26</v>
      </c>
    </row>
    <row r="18" spans="1:1" x14ac:dyDescent="0.2">
      <c r="A18" t="s">
        <v>27</v>
      </c>
    </row>
  </sheetData>
  <mergeCells count="1">
    <mergeCell ref="A1:N3"/>
  </mergeCells>
  <pageMargins left="0.75" right="0.75" top="1" bottom="1" header="0.5" footer="0.5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72585"/>
    <pageSetUpPr fitToPage="1"/>
  </sheetPr>
  <dimension ref="A1:N12"/>
  <sheetViews>
    <sheetView zoomScale="85"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5" width="11" customWidth="1"/>
  </cols>
  <sheetData>
    <row r="1" spans="1:14" ht="28" customHeight="1" x14ac:dyDescent="0.2">
      <c r="A1" s="22" t="s">
        <v>28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8" customHeigh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8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x14ac:dyDescent="0.2">
      <c r="A4" s="1" t="s">
        <v>29</v>
      </c>
    </row>
    <row r="6" spans="1:14" x14ac:dyDescent="0.2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G6" s="7" t="s">
        <v>35</v>
      </c>
    </row>
    <row r="7" spans="1:14" x14ac:dyDescent="0.2">
      <c r="A7" s="4" t="s">
        <v>36</v>
      </c>
      <c r="B7" s="4">
        <v>120</v>
      </c>
      <c r="C7" s="4">
        <v>88</v>
      </c>
      <c r="D7" s="4">
        <v>-30</v>
      </c>
      <c r="E7" s="4">
        <v>45</v>
      </c>
    </row>
    <row r="8" spans="1:14" x14ac:dyDescent="0.2">
      <c r="A8" s="6" t="s">
        <v>37</v>
      </c>
      <c r="B8" s="6">
        <v>95</v>
      </c>
      <c r="C8" s="6">
        <v>120</v>
      </c>
      <c r="D8" s="6">
        <v>10</v>
      </c>
      <c r="E8" s="6">
        <v>-15</v>
      </c>
    </row>
    <row r="9" spans="1:14" x14ac:dyDescent="0.2">
      <c r="A9" s="4" t="s">
        <v>38</v>
      </c>
      <c r="B9" s="4">
        <v>60</v>
      </c>
      <c r="C9" s="4">
        <v>45</v>
      </c>
      <c r="D9" s="4">
        <v>0</v>
      </c>
      <c r="E9" s="4">
        <v>30</v>
      </c>
    </row>
    <row r="10" spans="1:14" hidden="1" x14ac:dyDescent="0.2">
      <c r="A10" s="6" t="s">
        <v>39</v>
      </c>
      <c r="B10" s="6">
        <v>150</v>
      </c>
      <c r="C10" s="6">
        <v>20</v>
      </c>
      <c r="D10" s="6">
        <v>80</v>
      </c>
      <c r="E10" s="6">
        <v>66</v>
      </c>
    </row>
    <row r="11" spans="1:14" x14ac:dyDescent="0.2">
      <c r="A11" s="4" t="s">
        <v>40</v>
      </c>
      <c r="B11" s="4">
        <v>30</v>
      </c>
      <c r="C11" s="4">
        <v>60</v>
      </c>
      <c r="D11" s="4">
        <v>95</v>
      </c>
      <c r="E11" s="4">
        <v>-40</v>
      </c>
    </row>
    <row r="12" spans="1:14" x14ac:dyDescent="0.2">
      <c r="A12" s="6" t="s">
        <v>41</v>
      </c>
      <c r="B12" s="6">
        <v>170</v>
      </c>
      <c r="C12" s="6">
        <v>110</v>
      </c>
      <c r="D12" s="6">
        <v>40</v>
      </c>
      <c r="E12" s="6">
        <v>72</v>
      </c>
    </row>
  </sheetData>
  <mergeCells count="1">
    <mergeCell ref="A1:N3"/>
  </mergeCells>
  <pageMargins left="0.75" right="0.75" top="1" bottom="1" header="0.5" footer="0.5"/>
  <pageSetup fitToHeight="0"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361EE"/>
    <pageSetUpPr fitToPage="1"/>
  </sheetPr>
  <dimension ref="A1:N16"/>
  <sheetViews>
    <sheetView zoomScale="85"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4" width="11" customWidth="1"/>
    <col min="5" max="5" width="12" customWidth="1"/>
  </cols>
  <sheetData>
    <row r="1" spans="1:14" ht="28" customHeight="1" x14ac:dyDescent="0.2">
      <c r="A1" s="23" t="s">
        <v>42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8" customHeigh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8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x14ac:dyDescent="0.2">
      <c r="A4" s="1" t="s">
        <v>43</v>
      </c>
    </row>
    <row r="6" spans="1:14" x14ac:dyDescent="0.2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</row>
    <row r="7" spans="1:14" x14ac:dyDescent="0.2">
      <c r="A7" s="8">
        <v>46023</v>
      </c>
      <c r="B7" s="4">
        <v>20</v>
      </c>
      <c r="C7" s="4">
        <v>96</v>
      </c>
      <c r="D7" s="4">
        <v>25</v>
      </c>
      <c r="E7" s="4">
        <v>45</v>
      </c>
    </row>
    <row r="8" spans="1:14" x14ac:dyDescent="0.2">
      <c r="A8" s="9">
        <v>46030</v>
      </c>
      <c r="B8" s="6">
        <v>27</v>
      </c>
      <c r="C8" s="6">
        <v>88</v>
      </c>
      <c r="D8" s="6">
        <v>39</v>
      </c>
      <c r="E8" s="6">
        <v>64</v>
      </c>
    </row>
    <row r="9" spans="1:14" x14ac:dyDescent="0.2">
      <c r="A9" s="8">
        <v>46037</v>
      </c>
      <c r="B9" s="4">
        <v>34</v>
      </c>
      <c r="C9" s="4">
        <v>80</v>
      </c>
      <c r="D9" s="4">
        <v>53</v>
      </c>
      <c r="E9" s="4">
        <v>83</v>
      </c>
    </row>
    <row r="10" spans="1:14" x14ac:dyDescent="0.2">
      <c r="A10" s="9">
        <v>46044</v>
      </c>
      <c r="B10" s="6">
        <v>41</v>
      </c>
      <c r="C10" s="6">
        <v>72</v>
      </c>
      <c r="D10" s="6"/>
      <c r="E10" s="6">
        <v>35</v>
      </c>
    </row>
    <row r="11" spans="1:14" x14ac:dyDescent="0.2">
      <c r="A11" s="8">
        <v>46051</v>
      </c>
      <c r="B11" s="4">
        <v>48</v>
      </c>
      <c r="C11" s="4">
        <v>64</v>
      </c>
      <c r="D11" s="4">
        <v>39</v>
      </c>
      <c r="E11" s="4">
        <v>79</v>
      </c>
    </row>
    <row r="12" spans="1:14" x14ac:dyDescent="0.2">
      <c r="A12" s="9">
        <v>46058</v>
      </c>
      <c r="B12" s="6">
        <v>55</v>
      </c>
      <c r="C12" s="6">
        <v>56</v>
      </c>
      <c r="D12" s="6">
        <v>53</v>
      </c>
      <c r="E12" s="6">
        <v>98</v>
      </c>
    </row>
    <row r="13" spans="1:14" x14ac:dyDescent="0.2">
      <c r="A13" s="8">
        <v>46065</v>
      </c>
      <c r="B13" s="4">
        <v>62</v>
      </c>
      <c r="C13" s="4">
        <v>48</v>
      </c>
      <c r="D13" s="4">
        <v>25</v>
      </c>
      <c r="E13" s="4">
        <v>75</v>
      </c>
    </row>
    <row r="14" spans="1:14" x14ac:dyDescent="0.2">
      <c r="A14" s="9">
        <v>46072</v>
      </c>
      <c r="B14" s="6">
        <v>69</v>
      </c>
      <c r="C14" s="6">
        <v>40</v>
      </c>
      <c r="D14" s="6"/>
      <c r="E14" s="6">
        <v>55</v>
      </c>
    </row>
    <row r="15" spans="1:14" x14ac:dyDescent="0.2">
      <c r="A15" s="8">
        <v>46079</v>
      </c>
      <c r="B15" s="4">
        <v>76</v>
      </c>
      <c r="C15" s="4">
        <v>32</v>
      </c>
      <c r="D15" s="4">
        <v>53</v>
      </c>
      <c r="E15" s="4">
        <v>113</v>
      </c>
    </row>
    <row r="16" spans="1:14" x14ac:dyDescent="0.2">
      <c r="A16" s="9">
        <v>46086</v>
      </c>
      <c r="B16" s="6">
        <v>83</v>
      </c>
      <c r="C16" s="6">
        <v>24</v>
      </c>
      <c r="D16" s="6">
        <v>25</v>
      </c>
      <c r="E16" s="6">
        <v>90</v>
      </c>
    </row>
  </sheetData>
  <mergeCells count="1">
    <mergeCell ref="A1:N3"/>
  </mergeCells>
  <pageMargins left="0.75" right="0.75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8500"/>
    <pageSetUpPr fitToPage="1"/>
  </sheetPr>
  <dimension ref="A1:N11"/>
  <sheetViews>
    <sheetView zoomScale="85"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2" width="11" customWidth="1"/>
  </cols>
  <sheetData>
    <row r="1" spans="1:14" ht="28" customHeight="1" x14ac:dyDescent="0.2">
      <c r="A1" s="24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8" customHeigh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8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x14ac:dyDescent="0.2">
      <c r="A4" s="1" t="s">
        <v>49</v>
      </c>
    </row>
    <row r="6" spans="1:14" x14ac:dyDescent="0.2">
      <c r="A6" s="2" t="s">
        <v>50</v>
      </c>
      <c r="B6" s="2" t="s">
        <v>51</v>
      </c>
    </row>
    <row r="7" spans="1:14" x14ac:dyDescent="0.2">
      <c r="A7" s="4" t="s">
        <v>52</v>
      </c>
      <c r="B7" s="4">
        <v>42</v>
      </c>
    </row>
    <row r="8" spans="1:14" x14ac:dyDescent="0.2">
      <c r="A8" s="6" t="s">
        <v>53</v>
      </c>
      <c r="B8" s="6">
        <v>25</v>
      </c>
    </row>
    <row r="9" spans="1:14" x14ac:dyDescent="0.2">
      <c r="A9" s="4" t="s">
        <v>54</v>
      </c>
      <c r="B9" s="4">
        <v>18</v>
      </c>
    </row>
    <row r="10" spans="1:14" x14ac:dyDescent="0.2">
      <c r="A10" s="6" t="s">
        <v>55</v>
      </c>
      <c r="B10" s="6">
        <v>9</v>
      </c>
    </row>
    <row r="11" spans="1:14" x14ac:dyDescent="0.2">
      <c r="A11" s="4" t="s">
        <v>56</v>
      </c>
      <c r="B11" s="4">
        <v>6</v>
      </c>
    </row>
  </sheetData>
  <mergeCells count="1">
    <mergeCell ref="A1:N3"/>
  </mergeCells>
  <pageMargins left="0.75" right="0.75" top="1" bottom="1" header="0.5" footer="0.5"/>
  <pageSetup fitToHeight="0" orientation="landscape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6D6A0"/>
    <pageSetUpPr fitToPage="1"/>
  </sheetPr>
  <dimension ref="A1:N16"/>
  <sheetViews>
    <sheetView zoomScale="85"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4" width="11" customWidth="1"/>
    <col min="5" max="5" width="13" customWidth="1"/>
  </cols>
  <sheetData>
    <row r="1" spans="1:14" ht="28" customHeight="1" x14ac:dyDescent="0.2">
      <c r="A1" s="25" t="s">
        <v>14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8" customHeigh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8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x14ac:dyDescent="0.2">
      <c r="A4" s="1" t="s">
        <v>57</v>
      </c>
    </row>
    <row r="6" spans="1:14" x14ac:dyDescent="0.2">
      <c r="A6" s="2" t="s">
        <v>58</v>
      </c>
      <c r="B6" s="2" t="s">
        <v>59</v>
      </c>
      <c r="C6" s="2" t="s">
        <v>46</v>
      </c>
      <c r="D6" s="2" t="s">
        <v>60</v>
      </c>
      <c r="E6" s="2" t="s">
        <v>61</v>
      </c>
    </row>
    <row r="7" spans="1:14" x14ac:dyDescent="0.2">
      <c r="A7" s="4">
        <v>1</v>
      </c>
      <c r="B7" s="4">
        <v>4</v>
      </c>
      <c r="C7" s="4">
        <v>160</v>
      </c>
      <c r="D7" s="4">
        <v>15</v>
      </c>
      <c r="E7" s="4">
        <v>10</v>
      </c>
    </row>
    <row r="8" spans="1:14" x14ac:dyDescent="0.2">
      <c r="A8" s="6">
        <v>2</v>
      </c>
      <c r="B8" s="6">
        <v>7</v>
      </c>
      <c r="C8" s="6">
        <v>80</v>
      </c>
      <c r="D8" s="6">
        <v>6</v>
      </c>
      <c r="E8" s="6">
        <v>20</v>
      </c>
    </row>
    <row r="9" spans="1:14" x14ac:dyDescent="0.2">
      <c r="A9" s="4">
        <v>3</v>
      </c>
      <c r="B9" s="4">
        <v>12</v>
      </c>
      <c r="C9" s="4">
        <v>53</v>
      </c>
      <c r="D9" s="4">
        <v>21</v>
      </c>
      <c r="E9" s="4">
        <v>18</v>
      </c>
    </row>
    <row r="10" spans="1:14" x14ac:dyDescent="0.2">
      <c r="A10" s="6">
        <v>4</v>
      </c>
      <c r="B10" s="6">
        <v>19</v>
      </c>
      <c r="C10" s="6">
        <v>40</v>
      </c>
      <c r="D10" s="6">
        <v>12</v>
      </c>
      <c r="E10" s="6">
        <v>28</v>
      </c>
    </row>
    <row r="11" spans="1:14" x14ac:dyDescent="0.2">
      <c r="A11" s="4">
        <v>5</v>
      </c>
      <c r="B11" s="4">
        <v>28</v>
      </c>
      <c r="C11" s="4">
        <v>32</v>
      </c>
      <c r="D11" s="4">
        <v>27</v>
      </c>
      <c r="E11" s="4">
        <v>38</v>
      </c>
    </row>
    <row r="12" spans="1:14" x14ac:dyDescent="0.2">
      <c r="A12" s="6">
        <v>6</v>
      </c>
      <c r="B12" s="6">
        <v>39</v>
      </c>
      <c r="C12" s="6">
        <v>26</v>
      </c>
      <c r="D12" s="6">
        <v>18</v>
      </c>
      <c r="E12" s="6">
        <v>36</v>
      </c>
    </row>
    <row r="13" spans="1:14" x14ac:dyDescent="0.2">
      <c r="A13" s="4">
        <v>7</v>
      </c>
      <c r="B13" s="4">
        <v>52</v>
      </c>
      <c r="C13" s="4">
        <v>22</v>
      </c>
      <c r="D13" s="4">
        <v>33</v>
      </c>
      <c r="E13" s="4">
        <v>46</v>
      </c>
    </row>
    <row r="14" spans="1:14" x14ac:dyDescent="0.2">
      <c r="A14" s="6">
        <v>8</v>
      </c>
      <c r="B14" s="6">
        <v>67</v>
      </c>
      <c r="C14" s="6">
        <v>20</v>
      </c>
      <c r="D14" s="6">
        <v>24</v>
      </c>
      <c r="E14" s="6">
        <v>56</v>
      </c>
    </row>
    <row r="15" spans="1:14" x14ac:dyDescent="0.2">
      <c r="A15" s="4">
        <v>9</v>
      </c>
      <c r="B15" s="4">
        <v>84</v>
      </c>
      <c r="C15" s="4">
        <v>17</v>
      </c>
      <c r="D15" s="4">
        <v>39</v>
      </c>
      <c r="E15" s="4">
        <v>54</v>
      </c>
    </row>
    <row r="16" spans="1:14" x14ac:dyDescent="0.2">
      <c r="A16" s="6">
        <v>10</v>
      </c>
      <c r="B16" s="6">
        <v>103</v>
      </c>
      <c r="C16" s="6">
        <v>16</v>
      </c>
      <c r="D16" s="6">
        <v>30</v>
      </c>
      <c r="E16" s="6">
        <v>64</v>
      </c>
    </row>
  </sheetData>
  <mergeCells count="1">
    <mergeCell ref="A1:N3"/>
  </mergeCells>
  <pageMargins left="0.75" right="0.75" top="1" bottom="1" header="0.5" footer="0.5"/>
  <pageSetup fitToHeight="0" orientation="landscape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338EC"/>
    <pageSetUpPr fitToPage="1"/>
  </sheetPr>
  <dimension ref="A1:N22"/>
  <sheetViews>
    <sheetView zoomScale="85"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7" width="11" customWidth="1"/>
  </cols>
  <sheetData>
    <row r="1" spans="1:14" ht="28" customHeight="1" x14ac:dyDescent="0.2">
      <c r="A1" s="26" t="s">
        <v>18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8" customHeigh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8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x14ac:dyDescent="0.2">
      <c r="A4" s="1" t="s">
        <v>62</v>
      </c>
    </row>
    <row r="6" spans="1:14" x14ac:dyDescent="0.2">
      <c r="A6" s="2" t="s">
        <v>63</v>
      </c>
      <c r="B6" s="2" t="s">
        <v>36</v>
      </c>
      <c r="C6" s="2" t="s">
        <v>37</v>
      </c>
      <c r="D6" s="2" t="s">
        <v>38</v>
      </c>
    </row>
    <row r="7" spans="1:14" x14ac:dyDescent="0.2">
      <c r="A7" s="4" t="s">
        <v>64</v>
      </c>
      <c r="B7" s="4">
        <v>80</v>
      </c>
      <c r="C7" s="4">
        <v>65</v>
      </c>
      <c r="D7" s="4">
        <v>55</v>
      </c>
    </row>
    <row r="8" spans="1:14" x14ac:dyDescent="0.2">
      <c r="A8" s="6" t="s">
        <v>65</v>
      </c>
      <c r="B8" s="6">
        <v>40</v>
      </c>
      <c r="C8" s="6">
        <v>85</v>
      </c>
      <c r="D8" s="6">
        <v>70</v>
      </c>
    </row>
    <row r="9" spans="1:14" x14ac:dyDescent="0.2">
      <c r="A9" s="4" t="s">
        <v>60</v>
      </c>
      <c r="B9" s="4">
        <v>95</v>
      </c>
      <c r="C9" s="4">
        <v>50</v>
      </c>
      <c r="D9" s="4">
        <v>88</v>
      </c>
    </row>
    <row r="10" spans="1:14" x14ac:dyDescent="0.2">
      <c r="A10" s="6" t="s">
        <v>66</v>
      </c>
      <c r="B10" s="6">
        <v>60</v>
      </c>
      <c r="C10" s="6">
        <v>75</v>
      </c>
      <c r="D10" s="6">
        <v>45</v>
      </c>
    </row>
    <row r="11" spans="1:14" x14ac:dyDescent="0.2">
      <c r="A11" s="4" t="s">
        <v>67</v>
      </c>
      <c r="B11" s="4">
        <v>70</v>
      </c>
      <c r="C11" s="4">
        <v>55</v>
      </c>
      <c r="D11" s="4">
        <v>92</v>
      </c>
    </row>
    <row r="16" spans="1:14" x14ac:dyDescent="0.2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2" t="s">
        <v>73</v>
      </c>
      <c r="G16" s="2" t="s">
        <v>74</v>
      </c>
    </row>
    <row r="17" spans="1:7" x14ac:dyDescent="0.2">
      <c r="A17" s="4" t="s">
        <v>75</v>
      </c>
      <c r="B17" s="4">
        <v>12</v>
      </c>
      <c r="C17" s="4">
        <v>18</v>
      </c>
      <c r="D17" s="4">
        <v>27</v>
      </c>
      <c r="E17" s="4">
        <v>26</v>
      </c>
      <c r="F17" s="4">
        <v>14</v>
      </c>
      <c r="G17" s="4">
        <v>8</v>
      </c>
    </row>
    <row r="18" spans="1:7" x14ac:dyDescent="0.2">
      <c r="A18" s="6" t="s">
        <v>76</v>
      </c>
      <c r="B18" s="6">
        <v>20</v>
      </c>
      <c r="C18" s="6">
        <v>33</v>
      </c>
      <c r="D18" s="6">
        <v>41</v>
      </c>
      <c r="E18" s="6">
        <v>38</v>
      </c>
      <c r="F18" s="6">
        <v>22</v>
      </c>
      <c r="G18" s="6">
        <v>11</v>
      </c>
    </row>
    <row r="19" spans="1:7" x14ac:dyDescent="0.2">
      <c r="A19" s="4" t="s">
        <v>77</v>
      </c>
      <c r="B19" s="4">
        <v>15</v>
      </c>
      <c r="C19" s="4">
        <v>25</v>
      </c>
      <c r="D19" s="4">
        <v>37</v>
      </c>
      <c r="E19" s="4">
        <v>42</v>
      </c>
      <c r="F19" s="4">
        <v>29</v>
      </c>
      <c r="G19" s="4">
        <v>18</v>
      </c>
    </row>
    <row r="20" spans="1:7" x14ac:dyDescent="0.2">
      <c r="A20" s="6" t="s">
        <v>78</v>
      </c>
      <c r="B20" s="6">
        <v>9</v>
      </c>
      <c r="C20" s="6">
        <v>16</v>
      </c>
      <c r="D20" s="6">
        <v>28</v>
      </c>
      <c r="E20" s="6">
        <v>31</v>
      </c>
      <c r="F20" s="6">
        <v>24</v>
      </c>
      <c r="G20" s="6">
        <v>16</v>
      </c>
    </row>
    <row r="21" spans="1:7" x14ac:dyDescent="0.2">
      <c r="A21" s="4" t="s">
        <v>79</v>
      </c>
      <c r="B21" s="4">
        <v>6</v>
      </c>
      <c r="C21" s="4">
        <v>11</v>
      </c>
      <c r="D21" s="4">
        <v>18</v>
      </c>
      <c r="E21" s="4">
        <v>26</v>
      </c>
      <c r="F21" s="4">
        <v>33</v>
      </c>
      <c r="G21" s="4">
        <v>24</v>
      </c>
    </row>
    <row r="22" spans="1:7" x14ac:dyDescent="0.2">
      <c r="A22" s="6" t="s">
        <v>80</v>
      </c>
      <c r="B22" s="6">
        <v>3</v>
      </c>
      <c r="C22" s="6">
        <v>7</v>
      </c>
      <c r="D22" s="6">
        <v>11</v>
      </c>
      <c r="E22" s="6">
        <v>19</v>
      </c>
      <c r="F22" s="6">
        <v>21</v>
      </c>
      <c r="G22" s="6">
        <v>17</v>
      </c>
    </row>
  </sheetData>
  <mergeCells count="1">
    <mergeCell ref="A1:N3"/>
  </mergeCells>
  <pageMargins left="0.75" right="0.75" top="1" bottom="1" header="0.5" footer="0.5"/>
  <pageSetup fitToHeight="0" orientation="landscape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A9D8F"/>
    <pageSetUpPr fitToPage="1"/>
  </sheetPr>
  <dimension ref="A1:N14"/>
  <sheetViews>
    <sheetView zoomScale="85"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5" width="11" customWidth="1"/>
    <col min="6" max="6" width="18" customWidth="1"/>
  </cols>
  <sheetData>
    <row r="1" spans="1:14" ht="28" customHeight="1" x14ac:dyDescent="0.2">
      <c r="A1" s="27" t="s">
        <v>20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8" customHeigh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8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x14ac:dyDescent="0.2">
      <c r="A4" s="1" t="s">
        <v>81</v>
      </c>
    </row>
    <row r="6" spans="1:14" x14ac:dyDescent="0.2">
      <c r="A6" s="2" t="s">
        <v>44</v>
      </c>
      <c r="B6" s="2" t="s">
        <v>82</v>
      </c>
      <c r="C6" s="2" t="s">
        <v>83</v>
      </c>
      <c r="D6" s="2" t="s">
        <v>84</v>
      </c>
      <c r="E6" s="2" t="s">
        <v>85</v>
      </c>
      <c r="F6" s="2" t="s">
        <v>86</v>
      </c>
    </row>
    <row r="7" spans="1:14" x14ac:dyDescent="0.2">
      <c r="A7" s="8">
        <v>46054</v>
      </c>
      <c r="B7" s="4">
        <v>112</v>
      </c>
      <c r="C7" s="4">
        <v>84</v>
      </c>
      <c r="D7" s="4">
        <v>96</v>
      </c>
      <c r="E7" s="4">
        <v>220</v>
      </c>
      <c r="F7" s="10">
        <v>0.18</v>
      </c>
    </row>
    <row r="8" spans="1:14" x14ac:dyDescent="0.2">
      <c r="A8" s="9">
        <v>46055</v>
      </c>
      <c r="B8" s="6">
        <v>115</v>
      </c>
      <c r="C8" s="6">
        <v>86</v>
      </c>
      <c r="D8" s="6">
        <v>98</v>
      </c>
      <c r="E8" s="6">
        <v>238</v>
      </c>
      <c r="F8" s="11">
        <v>0.192</v>
      </c>
    </row>
    <row r="9" spans="1:14" x14ac:dyDescent="0.2">
      <c r="A9" s="8">
        <v>46056</v>
      </c>
      <c r="B9" s="4">
        <v>118</v>
      </c>
      <c r="C9" s="4">
        <v>88</v>
      </c>
      <c r="D9" s="4">
        <v>100</v>
      </c>
      <c r="E9" s="4">
        <v>256</v>
      </c>
      <c r="F9" s="10">
        <v>0.20399999999999999</v>
      </c>
    </row>
    <row r="10" spans="1:14" x14ac:dyDescent="0.2">
      <c r="A10" s="9">
        <v>46057</v>
      </c>
      <c r="B10" s="6">
        <v>121</v>
      </c>
      <c r="C10" s="6">
        <v>90</v>
      </c>
      <c r="D10" s="6">
        <v>102</v>
      </c>
      <c r="E10" s="6">
        <v>274</v>
      </c>
      <c r="F10" s="11">
        <v>0.216</v>
      </c>
    </row>
    <row r="11" spans="1:14" x14ac:dyDescent="0.2">
      <c r="A11" s="8">
        <v>46058</v>
      </c>
      <c r="B11" s="4">
        <v>124</v>
      </c>
      <c r="C11" s="4">
        <v>92</v>
      </c>
      <c r="D11" s="4">
        <v>104</v>
      </c>
      <c r="E11" s="4">
        <v>292</v>
      </c>
      <c r="F11" s="10">
        <v>0.22800000000000001</v>
      </c>
    </row>
    <row r="12" spans="1:14" x14ac:dyDescent="0.2">
      <c r="A12" s="9">
        <v>46059</v>
      </c>
      <c r="B12" s="6">
        <v>127</v>
      </c>
      <c r="C12" s="6">
        <v>94</v>
      </c>
      <c r="D12" s="6">
        <v>106</v>
      </c>
      <c r="E12" s="6">
        <v>310</v>
      </c>
      <c r="F12" s="11">
        <v>0.24</v>
      </c>
    </row>
    <row r="13" spans="1:14" x14ac:dyDescent="0.2">
      <c r="A13" s="8">
        <v>46060</v>
      </c>
      <c r="B13" s="4">
        <v>130</v>
      </c>
      <c r="C13" s="4">
        <v>96</v>
      </c>
      <c r="D13" s="4">
        <v>108</v>
      </c>
      <c r="E13" s="4">
        <v>328</v>
      </c>
      <c r="F13" s="10">
        <v>0.252</v>
      </c>
    </row>
    <row r="14" spans="1:14" x14ac:dyDescent="0.2">
      <c r="A14" s="9">
        <v>46061</v>
      </c>
      <c r="B14" s="6">
        <v>133</v>
      </c>
      <c r="C14" s="6">
        <v>98</v>
      </c>
      <c r="D14" s="6">
        <v>110</v>
      </c>
      <c r="E14" s="6">
        <v>346</v>
      </c>
      <c r="F14" s="11">
        <v>0.26400000000000001</v>
      </c>
    </row>
  </sheetData>
  <mergeCells count="1">
    <mergeCell ref="A1:N3"/>
  </mergeCells>
  <pageMargins left="0.75" right="0.75" top="1" bottom="1" header="0.5" footer="0.5"/>
  <pageSetup fitToHeight="0" orientation="landscape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D597A"/>
    <pageSetUpPr fitToPage="1"/>
  </sheetPr>
  <dimension ref="A1:Q30"/>
  <sheetViews>
    <sheetView zoomScale="85"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2" hidden="1" customWidth="1"/>
    <col min="3" max="17" width="12" customWidth="1"/>
  </cols>
  <sheetData>
    <row r="1" spans="1:17" ht="28" customHeight="1" x14ac:dyDescent="0.2">
      <c r="A1" s="28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7" ht="28" customHeight="1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7" ht="28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7" x14ac:dyDescent="0.2">
      <c r="A4" s="1" t="s">
        <v>87</v>
      </c>
    </row>
    <row r="6" spans="1:17" x14ac:dyDescent="0.2">
      <c r="A6" s="29" t="s">
        <v>88</v>
      </c>
      <c r="B6" s="21"/>
      <c r="C6" s="21"/>
      <c r="D6" s="21"/>
      <c r="F6" t="s">
        <v>89</v>
      </c>
    </row>
    <row r="7" spans="1:17" x14ac:dyDescent="0.2">
      <c r="A7" s="21"/>
      <c r="B7" s="21"/>
      <c r="C7" s="21"/>
      <c r="D7" s="21"/>
      <c r="F7">
        <f>ROUND(SIN(7/3)*COS(6/4)*100,1)</f>
        <v>5.0999999999999996</v>
      </c>
      <c r="G7">
        <f>ROUND(SIN(7/3)*COS(7/4)*100,1)</f>
        <v>-12.9</v>
      </c>
      <c r="H7">
        <f>ROUND(SIN(7/3)*COS(8/4)*100,1)</f>
        <v>-30.1</v>
      </c>
      <c r="I7">
        <f>ROUND(SIN(7/3)*COS(9/4)*100,1)</f>
        <v>-45.4</v>
      </c>
      <c r="J7">
        <f>ROUND(SIN(7/3)*COS(10/4)*100,1)</f>
        <v>-57.9</v>
      </c>
      <c r="K7">
        <f>ROUND(SIN(7/3)*COS(11/4)*100,1)</f>
        <v>-66.8</v>
      </c>
      <c r="L7">
        <f>ROUND(SIN(7/3)*COS(12/4)*100,1)</f>
        <v>-71.599999999999994</v>
      </c>
      <c r="M7">
        <f>ROUND(SIN(7/3)*COS(13/4)*100,1)</f>
        <v>-71.900000000000006</v>
      </c>
      <c r="N7">
        <f>ROUND(SIN(7/3)*COS(14/4)*100,1)</f>
        <v>-67.7</v>
      </c>
      <c r="O7">
        <f>ROUND(SIN(7/3)*COS(15/4)*100,1)</f>
        <v>-59.3</v>
      </c>
      <c r="P7">
        <f>ROUND(SIN(7/3)*COS(16/4)*100,1)</f>
        <v>-47.3</v>
      </c>
      <c r="Q7">
        <f>ROUND(SIN(7/3)*COS(17/4)*100,1)</f>
        <v>-32.299999999999997</v>
      </c>
    </row>
    <row r="8" spans="1:17" x14ac:dyDescent="0.2">
      <c r="A8" s="21"/>
      <c r="B8" s="21"/>
      <c r="C8" s="21"/>
      <c r="D8" s="21"/>
      <c r="F8">
        <f>ROUND(SIN(8/3)*COS(6/4)*100,1)</f>
        <v>3.2</v>
      </c>
      <c r="G8">
        <f>ROUND(SIN(8/3)*COS(7/4)*100,1)</f>
        <v>-8.1999999999999993</v>
      </c>
      <c r="H8">
        <f>ROUND(SIN(8/3)*COS(8/4)*100,1)</f>
        <v>-19</v>
      </c>
      <c r="I8">
        <f>ROUND(SIN(8/3)*COS(9/4)*100,1)</f>
        <v>-28.7</v>
      </c>
      <c r="J8">
        <f>ROUND(SIN(8/3)*COS(10/4)*100,1)</f>
        <v>-36.6</v>
      </c>
      <c r="K8">
        <f>ROUND(SIN(8/3)*COS(11/4)*100,1)</f>
        <v>-42.3</v>
      </c>
      <c r="L8">
        <f>ROUND(SIN(8/3)*COS(12/4)*100,1)</f>
        <v>-45.3</v>
      </c>
      <c r="M8">
        <f>ROUND(SIN(8/3)*COS(13/4)*100,1)</f>
        <v>-45.5</v>
      </c>
      <c r="N8">
        <f>ROUND(SIN(8/3)*COS(14/4)*100,1)</f>
        <v>-42.8</v>
      </c>
      <c r="O8">
        <f>ROUND(SIN(8/3)*COS(15/4)*100,1)</f>
        <v>-37.5</v>
      </c>
      <c r="P8">
        <f>ROUND(SIN(8/3)*COS(16/4)*100,1)</f>
        <v>-29.9</v>
      </c>
      <c r="Q8">
        <f>ROUND(SIN(8/3)*COS(17/4)*100,1)</f>
        <v>-20.399999999999999</v>
      </c>
    </row>
    <row r="9" spans="1:17" x14ac:dyDescent="0.2">
      <c r="F9">
        <f>ROUND(SIN(9/3)*COS(6/4)*100,1)</f>
        <v>1</v>
      </c>
      <c r="G9">
        <f>ROUND(SIN(9/3)*COS(7/4)*100,1)</f>
        <v>-2.5</v>
      </c>
      <c r="H9">
        <f>ROUND(SIN(9/3)*COS(8/4)*100,1)</f>
        <v>-5.9</v>
      </c>
      <c r="I9">
        <f>ROUND(SIN(9/3)*COS(9/4)*100,1)</f>
        <v>-8.9</v>
      </c>
      <c r="J9">
        <f>ROUND(SIN(9/3)*COS(10/4)*100,1)</f>
        <v>-11.3</v>
      </c>
      <c r="K9">
        <f>ROUND(SIN(9/3)*COS(11/4)*100,1)</f>
        <v>-13</v>
      </c>
      <c r="L9">
        <f>ROUND(SIN(9/3)*COS(12/4)*100,1)</f>
        <v>-14</v>
      </c>
      <c r="M9">
        <f>ROUND(SIN(9/3)*COS(13/4)*100,1)</f>
        <v>-14</v>
      </c>
      <c r="N9">
        <f>ROUND(SIN(9/3)*COS(14/4)*100,1)</f>
        <v>-13.2</v>
      </c>
      <c r="O9">
        <f>ROUND(SIN(9/3)*COS(15/4)*100,1)</f>
        <v>-11.6</v>
      </c>
      <c r="P9">
        <f>ROUND(SIN(9/3)*COS(16/4)*100,1)</f>
        <v>-9.1999999999999993</v>
      </c>
      <c r="Q9">
        <f>ROUND(SIN(9/3)*COS(17/4)*100,1)</f>
        <v>-6.3</v>
      </c>
    </row>
    <row r="10" spans="1:17" x14ac:dyDescent="0.2">
      <c r="F10">
        <f>ROUND(SIN(10/3)*COS(6/4)*100,1)</f>
        <v>-1.3</v>
      </c>
      <c r="G10">
        <f>ROUND(SIN(10/3)*COS(7/4)*100,1)</f>
        <v>3.4</v>
      </c>
      <c r="H10">
        <f>ROUND(SIN(10/3)*COS(8/4)*100,1)</f>
        <v>7.9</v>
      </c>
      <c r="I10">
        <f>ROUND(SIN(10/3)*COS(9/4)*100,1)</f>
        <v>12</v>
      </c>
      <c r="J10">
        <f>ROUND(SIN(10/3)*COS(10/4)*100,1)</f>
        <v>15.3</v>
      </c>
      <c r="K10">
        <f>ROUND(SIN(10/3)*COS(11/4)*100,1)</f>
        <v>17.600000000000001</v>
      </c>
      <c r="L10">
        <f>ROUND(SIN(10/3)*COS(12/4)*100,1)</f>
        <v>18.899999999999999</v>
      </c>
      <c r="M10">
        <f>ROUND(SIN(10/3)*COS(13/4)*100,1)</f>
        <v>18.899999999999999</v>
      </c>
      <c r="N10">
        <f>ROUND(SIN(10/3)*COS(14/4)*100,1)</f>
        <v>17.8</v>
      </c>
      <c r="O10">
        <f>ROUND(SIN(10/3)*COS(15/4)*100,1)</f>
        <v>15.6</v>
      </c>
      <c r="P10">
        <f>ROUND(SIN(10/3)*COS(16/4)*100,1)</f>
        <v>12.5</v>
      </c>
      <c r="Q10">
        <f>ROUND(SIN(10/3)*COS(17/4)*100,1)</f>
        <v>8.5</v>
      </c>
    </row>
    <row r="11" spans="1:17" x14ac:dyDescent="0.2">
      <c r="A11" t="s">
        <v>90</v>
      </c>
      <c r="C11" t="s">
        <v>91</v>
      </c>
      <c r="E11" t="s">
        <v>92</v>
      </c>
      <c r="F11">
        <f>ROUND(SIN(11/3)*COS(6/4)*100,1)</f>
        <v>-3.5</v>
      </c>
      <c r="G11">
        <f>ROUND(SIN(11/3)*COS(7/4)*100,1)</f>
        <v>8.9</v>
      </c>
      <c r="H11">
        <f>ROUND(SIN(11/3)*COS(8/4)*100,1)</f>
        <v>20.9</v>
      </c>
      <c r="I11">
        <f>ROUND(SIN(11/3)*COS(9/4)*100,1)</f>
        <v>31.5</v>
      </c>
      <c r="J11">
        <f>ROUND(SIN(11/3)*COS(10/4)*100,1)</f>
        <v>40.200000000000003</v>
      </c>
      <c r="K11">
        <f>ROUND(SIN(11/3)*COS(11/4)*100,1)</f>
        <v>46.3</v>
      </c>
      <c r="L11">
        <f>ROUND(SIN(11/3)*COS(12/4)*100,1)</f>
        <v>49.6</v>
      </c>
      <c r="M11">
        <f>ROUND(SIN(11/3)*COS(13/4)*100,1)</f>
        <v>49.8</v>
      </c>
      <c r="N11">
        <f>ROUND(SIN(11/3)*COS(14/4)*100,1)</f>
        <v>46.9</v>
      </c>
      <c r="O11">
        <f>ROUND(SIN(11/3)*COS(15/4)*100,1)</f>
        <v>41.1</v>
      </c>
      <c r="P11">
        <f>ROUND(SIN(11/3)*COS(16/4)*100,1)</f>
        <v>32.799999999999997</v>
      </c>
      <c r="Q11">
        <f>ROUND(SIN(11/3)*COS(17/4)*100,1)</f>
        <v>22.4</v>
      </c>
    </row>
    <row r="12" spans="1:17" x14ac:dyDescent="0.2">
      <c r="A12">
        <v>12</v>
      </c>
      <c r="C12">
        <v>1</v>
      </c>
      <c r="E12" t="s">
        <v>93</v>
      </c>
      <c r="F12">
        <f>ROUND(SIN(12/3)*COS(6/4)*100,1)</f>
        <v>-5.4</v>
      </c>
      <c r="G12">
        <f>ROUND(SIN(12/3)*COS(7/4)*100,1)</f>
        <v>13.5</v>
      </c>
      <c r="H12">
        <f>ROUND(SIN(12/3)*COS(8/4)*100,1)</f>
        <v>31.5</v>
      </c>
      <c r="I12">
        <f>ROUND(SIN(12/3)*COS(9/4)*100,1)</f>
        <v>47.5</v>
      </c>
      <c r="J12">
        <f>ROUND(SIN(12/3)*COS(10/4)*100,1)</f>
        <v>60.6</v>
      </c>
      <c r="K12">
        <f>ROUND(SIN(12/3)*COS(11/4)*100,1)</f>
        <v>70</v>
      </c>
      <c r="L12">
        <f>ROUND(SIN(12/3)*COS(12/4)*100,1)</f>
        <v>74.900000000000006</v>
      </c>
      <c r="M12">
        <f>ROUND(SIN(12/3)*COS(13/4)*100,1)</f>
        <v>75.2</v>
      </c>
      <c r="N12">
        <f>ROUND(SIN(12/3)*COS(14/4)*100,1)</f>
        <v>70.900000000000006</v>
      </c>
      <c r="O12">
        <f>ROUND(SIN(12/3)*COS(15/4)*100,1)</f>
        <v>62.1</v>
      </c>
      <c r="P12">
        <f>ROUND(SIN(12/3)*COS(16/4)*100,1)</f>
        <v>49.5</v>
      </c>
      <c r="Q12">
        <f>ROUND(SIN(12/3)*COS(17/4)*100,1)</f>
        <v>33.799999999999997</v>
      </c>
    </row>
    <row r="13" spans="1:17" x14ac:dyDescent="0.2">
      <c r="A13">
        <v>25</v>
      </c>
      <c r="C13">
        <v>2</v>
      </c>
      <c r="E13" t="s">
        <v>94</v>
      </c>
      <c r="F13">
        <f>ROUND(SIN(13/3)*COS(6/4)*100,1)</f>
        <v>-6.6</v>
      </c>
      <c r="G13">
        <f>ROUND(SIN(13/3)*COS(7/4)*100,1)</f>
        <v>16.600000000000001</v>
      </c>
      <c r="H13">
        <f>ROUND(SIN(13/3)*COS(8/4)*100,1)</f>
        <v>38.700000000000003</v>
      </c>
      <c r="I13">
        <f>ROUND(SIN(13/3)*COS(9/4)*100,1)</f>
        <v>58.4</v>
      </c>
      <c r="J13">
        <f>ROUND(SIN(13/3)*COS(10/4)*100,1)</f>
        <v>74.400000000000006</v>
      </c>
      <c r="K13">
        <f>ROUND(SIN(13/3)*COS(11/4)*100,1)</f>
        <v>85.9</v>
      </c>
      <c r="L13">
        <f>ROUND(SIN(13/3)*COS(12/4)*100,1)</f>
        <v>92</v>
      </c>
      <c r="M13">
        <f>ROUND(SIN(13/3)*COS(13/4)*100,1)</f>
        <v>92.4</v>
      </c>
      <c r="N13">
        <f>ROUND(SIN(13/3)*COS(14/4)*100,1)</f>
        <v>87</v>
      </c>
      <c r="O13">
        <f>ROUND(SIN(13/3)*COS(15/4)*100,1)</f>
        <v>76.2</v>
      </c>
      <c r="P13">
        <f>ROUND(SIN(13/3)*COS(16/4)*100,1)</f>
        <v>60.7</v>
      </c>
      <c r="Q13">
        <f>ROUND(SIN(13/3)*COS(17/4)*100,1)</f>
        <v>41.4</v>
      </c>
    </row>
    <row r="14" spans="1:17" x14ac:dyDescent="0.2">
      <c r="A14">
        <v>33</v>
      </c>
      <c r="C14">
        <v>2</v>
      </c>
      <c r="E14" t="s">
        <v>94</v>
      </c>
      <c r="F14">
        <f>ROUND(SIN(14/3)*COS(6/4)*100,1)</f>
        <v>-7.1</v>
      </c>
      <c r="G14">
        <f>ROUND(SIN(14/3)*COS(7/4)*100,1)</f>
        <v>17.8</v>
      </c>
      <c r="H14">
        <f>ROUND(SIN(14/3)*COS(8/4)*100,1)</f>
        <v>41.6</v>
      </c>
      <c r="I14">
        <f>ROUND(SIN(14/3)*COS(9/4)*100,1)</f>
        <v>62.8</v>
      </c>
      <c r="J14">
        <f>ROUND(SIN(14/3)*COS(10/4)*100,1)</f>
        <v>80</v>
      </c>
      <c r="K14">
        <f>ROUND(SIN(14/3)*COS(11/4)*100,1)</f>
        <v>92.3</v>
      </c>
      <c r="L14">
        <f>ROUND(SIN(14/3)*COS(12/4)*100,1)</f>
        <v>98.9</v>
      </c>
      <c r="M14">
        <f>ROUND(SIN(14/3)*COS(13/4)*100,1)</f>
        <v>99.3</v>
      </c>
      <c r="N14">
        <f>ROUND(SIN(14/3)*COS(14/4)*100,1)</f>
        <v>93.5</v>
      </c>
      <c r="O14">
        <f>ROUND(SIN(14/3)*COS(15/4)*100,1)</f>
        <v>82</v>
      </c>
      <c r="P14">
        <f>ROUND(SIN(14/3)*COS(16/4)*100,1)</f>
        <v>65.3</v>
      </c>
      <c r="Q14">
        <f>ROUND(SIN(14/3)*COS(17/4)*100,1)</f>
        <v>44.6</v>
      </c>
    </row>
    <row r="15" spans="1:17" x14ac:dyDescent="0.2">
      <c r="A15">
        <v>48</v>
      </c>
      <c r="C15">
        <v>3</v>
      </c>
      <c r="E15" t="s">
        <v>93</v>
      </c>
      <c r="F15">
        <f>ROUND(SIN(15/3)*COS(6/4)*100,1)</f>
        <v>-6.8</v>
      </c>
      <c r="G15">
        <f>ROUND(SIN(15/3)*COS(7/4)*100,1)</f>
        <v>17.100000000000001</v>
      </c>
      <c r="H15">
        <f>ROUND(SIN(15/3)*COS(8/4)*100,1)</f>
        <v>39.9</v>
      </c>
      <c r="I15">
        <f>ROUND(SIN(15/3)*COS(9/4)*100,1)</f>
        <v>60.2</v>
      </c>
      <c r="J15">
        <f>ROUND(SIN(15/3)*COS(10/4)*100,1)</f>
        <v>76.8</v>
      </c>
      <c r="K15">
        <f>ROUND(SIN(15/3)*COS(11/4)*100,1)</f>
        <v>88.6</v>
      </c>
      <c r="L15">
        <f>ROUND(SIN(15/3)*COS(12/4)*100,1)</f>
        <v>94.9</v>
      </c>
      <c r="M15">
        <f>ROUND(SIN(15/3)*COS(13/4)*100,1)</f>
        <v>95.3</v>
      </c>
      <c r="N15">
        <f>ROUND(SIN(15/3)*COS(14/4)*100,1)</f>
        <v>89.8</v>
      </c>
      <c r="O15">
        <f>ROUND(SIN(15/3)*COS(15/4)*100,1)</f>
        <v>78.7</v>
      </c>
      <c r="P15">
        <f>ROUND(SIN(15/3)*COS(16/4)*100,1)</f>
        <v>62.7</v>
      </c>
      <c r="Q15">
        <f>ROUND(SIN(15/3)*COS(17/4)*100,1)</f>
        <v>42.8</v>
      </c>
    </row>
    <row r="16" spans="1:17" x14ac:dyDescent="0.2">
      <c r="A16">
        <v>51</v>
      </c>
      <c r="C16">
        <v>4</v>
      </c>
      <c r="E16" t="s">
        <v>94</v>
      </c>
      <c r="F16">
        <f>ROUND(SIN(16/3)*COS(6/4)*100,1)</f>
        <v>-5.8</v>
      </c>
      <c r="G16">
        <f>ROUND(SIN(16/3)*COS(7/4)*100,1)</f>
        <v>14.5</v>
      </c>
      <c r="H16">
        <f>ROUND(SIN(16/3)*COS(8/4)*100,1)</f>
        <v>33.799999999999997</v>
      </c>
      <c r="I16">
        <f>ROUND(SIN(16/3)*COS(9/4)*100,1)</f>
        <v>51.1</v>
      </c>
      <c r="J16">
        <f>ROUND(SIN(16/3)*COS(10/4)*100,1)</f>
        <v>65.2</v>
      </c>
      <c r="K16">
        <f>ROUND(SIN(16/3)*COS(11/4)*100,1)</f>
        <v>75.2</v>
      </c>
      <c r="L16">
        <f>ROUND(SIN(16/3)*COS(12/4)*100,1)</f>
        <v>80.5</v>
      </c>
      <c r="M16">
        <f>ROUND(SIN(16/3)*COS(13/4)*100,1)</f>
        <v>80.900000000000006</v>
      </c>
      <c r="N16">
        <f>ROUND(SIN(16/3)*COS(14/4)*100,1)</f>
        <v>76.2</v>
      </c>
      <c r="O16">
        <f>ROUND(SIN(16/3)*COS(15/4)*100,1)</f>
        <v>66.7</v>
      </c>
      <c r="P16">
        <f>ROUND(SIN(16/3)*COS(16/4)*100,1)</f>
        <v>53.2</v>
      </c>
      <c r="Q16">
        <f>ROUND(SIN(16/3)*COS(17/4)*100,1)</f>
        <v>36.299999999999997</v>
      </c>
    </row>
    <row r="17" spans="1:17" x14ac:dyDescent="0.2">
      <c r="A17">
        <v>63</v>
      </c>
      <c r="C17">
        <v>4</v>
      </c>
      <c r="E17" t="s">
        <v>94</v>
      </c>
      <c r="F17">
        <f>ROUND(SIN(17/3)*COS(6/4)*100,1)</f>
        <v>-4.0999999999999996</v>
      </c>
      <c r="G17">
        <f>ROUND(SIN(17/3)*COS(7/4)*100,1)</f>
        <v>10.3</v>
      </c>
      <c r="H17">
        <f>ROUND(SIN(17/3)*COS(8/4)*100,1)</f>
        <v>24.1</v>
      </c>
      <c r="I17">
        <f>ROUND(SIN(17/3)*COS(9/4)*100,1)</f>
        <v>36.299999999999997</v>
      </c>
      <c r="J17">
        <f>ROUND(SIN(17/3)*COS(10/4)*100,1)</f>
        <v>46.3</v>
      </c>
      <c r="K17">
        <f>ROUND(SIN(17/3)*COS(11/4)*100,1)</f>
        <v>53.4</v>
      </c>
      <c r="L17">
        <f>ROUND(SIN(17/3)*COS(12/4)*100,1)</f>
        <v>57.2</v>
      </c>
      <c r="M17">
        <f>ROUND(SIN(17/3)*COS(13/4)*100,1)</f>
        <v>57.5</v>
      </c>
      <c r="N17">
        <f>ROUND(SIN(17/3)*COS(14/4)*100,1)</f>
        <v>54.1</v>
      </c>
      <c r="O17">
        <f>ROUND(SIN(17/3)*COS(15/4)*100,1)</f>
        <v>47.4</v>
      </c>
      <c r="P17">
        <f>ROUND(SIN(17/3)*COS(16/4)*100,1)</f>
        <v>37.799999999999997</v>
      </c>
      <c r="Q17">
        <f>ROUND(SIN(17/3)*COS(17/4)*100,1)</f>
        <v>25.8</v>
      </c>
    </row>
    <row r="18" spans="1:17" x14ac:dyDescent="0.2">
      <c r="A18">
        <v>77</v>
      </c>
      <c r="C18">
        <v>5</v>
      </c>
      <c r="E18" t="s">
        <v>93</v>
      </c>
      <c r="F18">
        <f>ROUND(SIN(18/3)*COS(6/4)*100,1)</f>
        <v>-2</v>
      </c>
      <c r="G18">
        <f>ROUND(SIN(18/3)*COS(7/4)*100,1)</f>
        <v>5</v>
      </c>
      <c r="H18">
        <f>ROUND(SIN(18/3)*COS(8/4)*100,1)</f>
        <v>11.6</v>
      </c>
      <c r="I18">
        <f>ROUND(SIN(18/3)*COS(9/4)*100,1)</f>
        <v>17.600000000000001</v>
      </c>
      <c r="J18">
        <f>ROUND(SIN(18/3)*COS(10/4)*100,1)</f>
        <v>22.4</v>
      </c>
      <c r="K18">
        <f>ROUND(SIN(18/3)*COS(11/4)*100,1)</f>
        <v>25.8</v>
      </c>
      <c r="L18">
        <f>ROUND(SIN(18/3)*COS(12/4)*100,1)</f>
        <v>27.7</v>
      </c>
      <c r="M18">
        <f>ROUND(SIN(18/3)*COS(13/4)*100,1)</f>
        <v>27.8</v>
      </c>
      <c r="N18">
        <f>ROUND(SIN(18/3)*COS(14/4)*100,1)</f>
        <v>26.2</v>
      </c>
      <c r="O18">
        <f>ROUND(SIN(18/3)*COS(15/4)*100,1)</f>
        <v>22.9</v>
      </c>
      <c r="P18">
        <f>ROUND(SIN(18/3)*COS(16/4)*100,1)</f>
        <v>18.3</v>
      </c>
      <c r="Q18">
        <f>ROUND(SIN(18/3)*COS(17/4)*100,1)</f>
        <v>12.5</v>
      </c>
    </row>
    <row r="19" spans="1:17" x14ac:dyDescent="0.2">
      <c r="A19">
        <v>82</v>
      </c>
      <c r="C19">
        <v>3</v>
      </c>
      <c r="E19" t="s">
        <v>94</v>
      </c>
    </row>
    <row r="20" spans="1:17" x14ac:dyDescent="0.2">
      <c r="A20">
        <v>94</v>
      </c>
      <c r="C20">
        <v>1</v>
      </c>
      <c r="E20" t="s">
        <v>94</v>
      </c>
    </row>
    <row r="23" spans="1:17" x14ac:dyDescent="0.2">
      <c r="A23" t="s">
        <v>24</v>
      </c>
    </row>
    <row r="24" spans="1:17" x14ac:dyDescent="0.2">
      <c r="A24" t="s">
        <v>95</v>
      </c>
      <c r="H24" t="s">
        <v>96</v>
      </c>
    </row>
    <row r="25" spans="1:17" x14ac:dyDescent="0.2">
      <c r="A25" t="s">
        <v>97</v>
      </c>
    </row>
    <row r="26" spans="1:17" x14ac:dyDescent="0.2">
      <c r="A26" t="s">
        <v>98</v>
      </c>
    </row>
    <row r="27" spans="1:17" hidden="1" x14ac:dyDescent="0.2"/>
    <row r="29" spans="1:17" ht="38" x14ac:dyDescent="0.2">
      <c r="A29" s="12" t="s">
        <v>99</v>
      </c>
      <c r="B29" s="13" t="s">
        <v>100</v>
      </c>
      <c r="C29" s="14" t="s">
        <v>101</v>
      </c>
      <c r="D29" s="15" t="s">
        <v>102</v>
      </c>
      <c r="E29" s="16" t="s">
        <v>103</v>
      </c>
      <c r="F29" s="17" t="s">
        <v>104</v>
      </c>
      <c r="G29" s="18" t="s">
        <v>105</v>
      </c>
      <c r="H29" s="19" t="s">
        <v>106</v>
      </c>
    </row>
    <row r="30" spans="1:17" x14ac:dyDescent="0.2">
      <c r="A30">
        <v>11</v>
      </c>
      <c r="B30">
        <v>22</v>
      </c>
      <c r="C30">
        <v>33</v>
      </c>
      <c r="D30">
        <v>44</v>
      </c>
      <c r="E30">
        <v>55</v>
      </c>
      <c r="F30">
        <v>66</v>
      </c>
      <c r="G30">
        <v>77</v>
      </c>
      <c r="H30">
        <v>88</v>
      </c>
    </row>
  </sheetData>
  <mergeCells count="2">
    <mergeCell ref="A1:N3"/>
    <mergeCell ref="A6:D8"/>
  </mergeCells>
  <conditionalFormatting sqref="A12:A20">
    <cfRule type="dataBar" priority="2">
      <dataBar>
        <cfvo type="num" val="0"/>
        <cfvo type="num" val="100"/>
        <color rgb="FF00BBF9"/>
      </dataBar>
    </cfRule>
  </conditionalFormatting>
  <conditionalFormatting sqref="C12:C20">
    <cfRule type="iconSet" priority="3">
      <iconSet iconSet="5Arrows">
        <cfvo type="num" val="1"/>
        <cfvo type="num" val="2"/>
        <cfvo type="num" val="3"/>
        <cfvo type="num" val="4"/>
        <cfvo type="num" val="5"/>
      </iconSet>
    </cfRule>
  </conditionalFormatting>
  <conditionalFormatting sqref="E12:E20">
    <cfRule type="expression" dxfId="0" priority="4">
      <formula>E12="CHECK"</formula>
    </cfRule>
  </conditionalFormatting>
  <conditionalFormatting sqref="F7:Q18">
    <cfRule type="colorScale" priority="1">
      <colorScale>
        <cfvo type="min"/>
        <cfvo type="percentile" val="50"/>
        <cfvo type="max"/>
        <color rgb="FF3A0CA3"/>
        <color rgb="FFF72585"/>
        <color rgb="FFFFBE0B"/>
      </colorScale>
    </cfRule>
  </conditionalFormatting>
  <pageMargins left="0.75" right="0.75" top="1" bottom="1" header="0.5" footer="0.5"/>
  <pageSetup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Bar + Column</vt:lpstr>
      <vt:lpstr>Line + Area</vt:lpstr>
      <vt:lpstr>Pie Zoo</vt:lpstr>
      <vt:lpstr>XY Chaos</vt:lpstr>
      <vt:lpstr>Radar + Surface</vt:lpstr>
      <vt:lpstr>Stock + Combo</vt:lpstr>
      <vt:lpstr>Format 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Crazy Chart Zoo</dc:title>
  <dc:subject>Excel renderer stress test</dc:subject>
  <dc:creator>Codex</dc:creator>
  <dc:description>Workbook with broad chart coverage, formatting pressure tests, and edge-case values.</dc:description>
  <cp:lastModifiedBy>Andrew Luo</cp:lastModifiedBy>
  <dcterms:created xsi:type="dcterms:W3CDTF">2026-04-07T00:50:17Z</dcterms:created>
  <dcterms:modified xsi:type="dcterms:W3CDTF">2026-04-07T01:50:03Z</dcterms:modified>
</cp:coreProperties>
</file>